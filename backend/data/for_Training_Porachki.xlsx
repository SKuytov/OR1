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lim\Downloads\"/>
    </mc:Choice>
  </mc:AlternateContent>
  <xr:revisionPtr revIDLastSave="0" documentId="13_ncr:1_{6B430AB8-8F27-486B-8EA4-D8F6C5826438}" xr6:coauthVersionLast="47" xr6:coauthVersionMax="47" xr10:uidLastSave="{00000000-0000-0000-0000-000000000000}"/>
  <bookViews>
    <workbookView xWindow="28680" yWindow="-120" windowWidth="29040" windowHeight="17640" activeTab="1" xr2:uid="{00000000-000D-0000-FFFF-FFFF00000000}"/>
  </bookViews>
  <sheets>
    <sheet name="Cotton Tape and Sliver" sheetId="1" r:id="rId1"/>
    <sheet name="Cotton Buds and Pads" sheetId="3" r:id="rId2"/>
    <sheet name="Wet Wipes" sheetId="4" r:id="rId3"/>
    <sheet name="Paper Sticks, Plastics" sheetId="5" r:id="rId4"/>
    <sheet name="Statistics" sheetId="6" r:id="rId5"/>
    <sheet name="Referenc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5" i="5" l="1"/>
  <c r="R449" i="4" a="1"/>
  <c r="R449" i="4" s="1"/>
  <c r="N449" i="4"/>
  <c r="C449" i="4"/>
  <c r="O449" i="4" s="1"/>
  <c r="N480" i="3" l="1"/>
  <c r="O480" i="3"/>
  <c r="R480" i="3" a="1"/>
  <c r="R480" i="3" s="1"/>
  <c r="N377" i="3"/>
  <c r="N375" i="3"/>
  <c r="N258" i="3"/>
  <c r="N257" i="3"/>
  <c r="N256" i="3"/>
  <c r="N255" i="3"/>
  <c r="N246" i="3"/>
  <c r="R479" i="3" a="1"/>
  <c r="R479" i="3" s="1"/>
  <c r="N479" i="3"/>
  <c r="O479" i="3" s="1"/>
  <c r="R478" i="3" a="1"/>
  <c r="R478" i="3" s="1"/>
  <c r="N478" i="3"/>
  <c r="O478" i="3" s="1"/>
  <c r="S410" i="1" a="1"/>
  <c r="S410" i="1" s="1"/>
  <c r="P410" i="1"/>
  <c r="N477" i="3"/>
  <c r="O477" i="3" s="1"/>
  <c r="R477" i="3" a="1"/>
  <c r="R477" i="3" s="1"/>
  <c r="N476" i="3"/>
  <c r="O476" i="3" s="1"/>
  <c r="R476" i="3" a="1"/>
  <c r="R476" i="3" s="1"/>
  <c r="N475" i="3"/>
  <c r="O475" i="3" s="1"/>
  <c r="R475" i="3" a="1"/>
  <c r="R475" i="3" s="1"/>
  <c r="N474" i="3"/>
  <c r="O474" i="3" s="1"/>
  <c r="R474" i="3" a="1"/>
  <c r="R474" i="3" s="1"/>
  <c r="O95" i="5"/>
  <c r="R95" i="5" a="1"/>
  <c r="R95" i="5" s="1"/>
  <c r="O94" i="5"/>
  <c r="R94" i="5" a="1"/>
  <c r="R94" i="5" s="1"/>
  <c r="O93" i="5"/>
  <c r="R93" i="5" a="1"/>
  <c r="R93" i="5" s="1"/>
  <c r="N473" i="3"/>
  <c r="O473" i="3" s="1"/>
  <c r="R473" i="3" a="1"/>
  <c r="R473" i="3" s="1"/>
  <c r="N472" i="3"/>
  <c r="O472" i="3"/>
  <c r="R472" i="3" a="1"/>
  <c r="R472" i="3" s="1"/>
  <c r="N471" i="3"/>
  <c r="O471" i="3" s="1"/>
  <c r="R471" i="3" a="1"/>
  <c r="R471" i="3" s="1"/>
  <c r="N470" i="3"/>
  <c r="O470" i="3" s="1"/>
  <c r="R470" i="3" a="1"/>
  <c r="R470" i="3" s="1"/>
  <c r="P409" i="1"/>
  <c r="S409" i="1" a="1"/>
  <c r="S409" i="1" s="1"/>
  <c r="N469" i="3"/>
  <c r="O469" i="3" s="1"/>
  <c r="R469" i="3" a="1"/>
  <c r="R469" i="3" s="1"/>
  <c r="R92" i="5" a="1"/>
  <c r="R92" i="5" s="1"/>
  <c r="O92" i="5"/>
  <c r="R91" i="5" a="1"/>
  <c r="R91" i="5" s="1"/>
  <c r="O91" i="5"/>
  <c r="R90" i="5" a="1"/>
  <c r="R90" i="5" s="1"/>
  <c r="O90" i="5"/>
  <c r="N468" i="3"/>
  <c r="O468" i="3" s="1"/>
  <c r="R468" i="3" a="1"/>
  <c r="R468" i="3" s="1"/>
  <c r="N467" i="3"/>
  <c r="O467" i="3" s="1"/>
  <c r="R467" i="3" a="1"/>
  <c r="R467" i="3" s="1"/>
  <c r="R466" i="3" a="1"/>
  <c r="R466" i="3" s="1"/>
  <c r="N466" i="3"/>
  <c r="O466" i="3" s="1"/>
  <c r="S408" i="1" a="1"/>
  <c r="S408" i="1" s="1"/>
  <c r="P408" i="1"/>
  <c r="R89" i="5" a="1"/>
  <c r="R89" i="5" s="1"/>
  <c r="O89" i="5"/>
  <c r="R465" i="3" a="1"/>
  <c r="R465" i="3" s="1"/>
  <c r="N465" i="3"/>
  <c r="O465" i="3" s="1"/>
  <c r="P407" i="1"/>
  <c r="S407" i="1" a="1"/>
  <c r="S407" i="1" s="1"/>
  <c r="R88" i="5" a="1"/>
  <c r="R88" i="5" s="1"/>
  <c r="O88" i="5"/>
  <c r="N464" i="3"/>
  <c r="O464" i="3" s="1"/>
  <c r="R464" i="3" a="1"/>
  <c r="R464" i="3" s="1"/>
  <c r="N463" i="3"/>
  <c r="O463" i="3" s="1"/>
  <c r="R463" i="3" a="1"/>
  <c r="R463" i="3" s="1"/>
  <c r="R462" i="3" a="1"/>
  <c r="R462" i="3" s="1"/>
  <c r="N462" i="3"/>
  <c r="O462" i="3" s="1"/>
  <c r="O365" i="1"/>
  <c r="O364" i="1"/>
  <c r="O363" i="1"/>
  <c r="O362" i="1"/>
  <c r="O361" i="1"/>
  <c r="N461" i="3"/>
  <c r="O461" i="3" s="1"/>
  <c r="R461" i="3" a="1"/>
  <c r="R461" i="3" s="1"/>
  <c r="N460" i="3"/>
  <c r="O460" i="3" s="1"/>
  <c r="R460" i="3" a="1"/>
  <c r="R460" i="3" s="1"/>
  <c r="N455" i="3"/>
  <c r="R448" i="4" a="1"/>
  <c r="R448" i="4" s="1"/>
  <c r="C448" i="4"/>
  <c r="O448" i="4" s="1"/>
  <c r="N459" i="3"/>
  <c r="O459" i="3" s="1"/>
  <c r="R459" i="3" a="1"/>
  <c r="R459" i="3" s="1"/>
  <c r="C447" i="4"/>
  <c r="O447" i="4" s="1"/>
  <c r="R447" i="4" a="1"/>
  <c r="R447" i="4" s="1"/>
  <c r="N446" i="4"/>
  <c r="R446" i="4" a="1"/>
  <c r="R446" i="4" s="1"/>
  <c r="N445" i="4"/>
  <c r="C446" i="4"/>
  <c r="R458" i="3" a="1"/>
  <c r="R458" i="3" s="1"/>
  <c r="N458" i="3"/>
  <c r="O458" i="3" s="1"/>
  <c r="O446" i="4" l="1"/>
  <c r="R457" i="3" a="1"/>
  <c r="R457" i="3" s="1"/>
  <c r="N457" i="3"/>
  <c r="O457" i="3" s="1"/>
  <c r="N456" i="3"/>
  <c r="O456" i="3" s="1"/>
  <c r="R456" i="3" a="1"/>
  <c r="R456" i="3" s="1"/>
  <c r="O134" i="1"/>
  <c r="O401" i="1"/>
  <c r="R455" i="3" a="1"/>
  <c r="R455" i="3" s="1"/>
  <c r="O455" i="3"/>
  <c r="R445" i="4" a="1"/>
  <c r="R445" i="4" s="1"/>
  <c r="C445" i="4"/>
  <c r="O445" i="4" s="1"/>
  <c r="O391" i="1"/>
  <c r="O390" i="1"/>
  <c r="O389" i="1"/>
  <c r="O388" i="1"/>
  <c r="O387" i="1"/>
  <c r="O376" i="1"/>
  <c r="O375" i="1"/>
  <c r="O374" i="1"/>
  <c r="O366" i="1"/>
  <c r="O380" i="1" l="1"/>
  <c r="P380" i="1" s="1"/>
  <c r="O383" i="1"/>
  <c r="P383" i="1" s="1"/>
  <c r="O382" i="1"/>
  <c r="P382" i="1" s="1"/>
  <c r="O381" i="1"/>
  <c r="P381" i="1" s="1"/>
  <c r="O373" i="1"/>
  <c r="P373" i="1" s="1"/>
  <c r="P406" i="1"/>
  <c r="S406" i="1" a="1"/>
  <c r="S406" i="1" s="1"/>
  <c r="P405" i="1"/>
  <c r="S405" i="1" a="1"/>
  <c r="S405" i="1" s="1"/>
  <c r="P404" i="1"/>
  <c r="S404" i="1" a="1"/>
  <c r="S404" i="1" s="1"/>
  <c r="P403" i="1"/>
  <c r="S403" i="1" a="1"/>
  <c r="S403" i="1" s="1"/>
  <c r="P402" i="1"/>
  <c r="S402" i="1" a="1"/>
  <c r="S402" i="1" s="1"/>
  <c r="P401" i="1"/>
  <c r="S401" i="1" a="1"/>
  <c r="S401" i="1" s="1"/>
  <c r="P400" i="1"/>
  <c r="S400" i="1" a="1"/>
  <c r="S400" i="1" s="1"/>
  <c r="R380" i="4" a="1"/>
  <c r="R380" i="4" s="1"/>
  <c r="N381" i="4"/>
  <c r="N380" i="4"/>
  <c r="N452" i="3"/>
  <c r="O452" i="3" s="1"/>
  <c r="N450" i="3"/>
  <c r="N454" i="3"/>
  <c r="O454" i="3" s="1"/>
  <c r="R454" i="3" a="1"/>
  <c r="R454" i="3" s="1"/>
  <c r="N453" i="3"/>
  <c r="O453" i="3" s="1"/>
  <c r="R453" i="3" a="1"/>
  <c r="R453" i="3" s="1"/>
  <c r="P399" i="1"/>
  <c r="S399" i="1" a="1"/>
  <c r="S399" i="1" s="1"/>
  <c r="P398" i="1"/>
  <c r="S398" i="1" a="1"/>
  <c r="S398" i="1" s="1"/>
  <c r="P397" i="1"/>
  <c r="S397" i="1" a="1"/>
  <c r="S397" i="1" s="1"/>
  <c r="P396" i="1"/>
  <c r="S396" i="1" a="1"/>
  <c r="S396" i="1" s="1"/>
  <c r="P395" i="1"/>
  <c r="S395" i="1" a="1"/>
  <c r="S395" i="1" s="1"/>
  <c r="P394" i="1"/>
  <c r="S394" i="1" a="1"/>
  <c r="S394" i="1" s="1"/>
  <c r="P393" i="1"/>
  <c r="S393" i="1" a="1"/>
  <c r="S393" i="1" s="1"/>
  <c r="P392" i="1"/>
  <c r="S392" i="1" a="1"/>
  <c r="S392" i="1" s="1"/>
  <c r="P391" i="1"/>
  <c r="S391" i="1" a="1"/>
  <c r="S391" i="1" s="1"/>
  <c r="P390" i="1"/>
  <c r="S390" i="1" a="1"/>
  <c r="S390" i="1" s="1"/>
  <c r="P389" i="1"/>
  <c r="S389" i="1" a="1"/>
  <c r="S389" i="1" s="1"/>
  <c r="P388" i="1"/>
  <c r="S388" i="1" a="1"/>
  <c r="S388" i="1" s="1"/>
  <c r="P387" i="1"/>
  <c r="S387" i="1" a="1"/>
  <c r="S387" i="1" s="1"/>
  <c r="P386" i="1"/>
  <c r="S386" i="1" a="1"/>
  <c r="S386" i="1" s="1"/>
  <c r="P385" i="1"/>
  <c r="S385" i="1" a="1"/>
  <c r="S385" i="1" s="1"/>
  <c r="P384" i="1"/>
  <c r="S384" i="1" a="1"/>
  <c r="S384" i="1" s="1"/>
  <c r="S383" i="1" a="1"/>
  <c r="S383" i="1" s="1"/>
  <c r="S382" i="1" a="1"/>
  <c r="S382" i="1" s="1"/>
  <c r="S381" i="1" a="1"/>
  <c r="S381" i="1" s="1"/>
  <c r="S380" i="1" a="1"/>
  <c r="S380" i="1" s="1"/>
  <c r="P379" i="1"/>
  <c r="S379" i="1" a="1"/>
  <c r="S379" i="1" s="1"/>
  <c r="P378" i="1"/>
  <c r="S378" i="1" a="1"/>
  <c r="S378" i="1" s="1"/>
  <c r="P377" i="1"/>
  <c r="S377" i="1" a="1"/>
  <c r="S377" i="1" s="1"/>
  <c r="P376" i="1"/>
  <c r="S376" i="1" a="1"/>
  <c r="S376" i="1" s="1"/>
  <c r="P375" i="1"/>
  <c r="S375" i="1" a="1"/>
  <c r="S375" i="1" s="1"/>
  <c r="P374" i="1"/>
  <c r="S374" i="1" a="1"/>
  <c r="S374" i="1" s="1"/>
  <c r="S373" i="1" a="1"/>
  <c r="S373" i="1" s="1"/>
  <c r="P372" i="1"/>
  <c r="S372" i="1" a="1"/>
  <c r="S372" i="1" s="1"/>
  <c r="P371" i="1"/>
  <c r="S371" i="1" a="1"/>
  <c r="S371" i="1" s="1"/>
  <c r="P370" i="1"/>
  <c r="S370" i="1" a="1"/>
  <c r="S370" i="1" s="1"/>
  <c r="P369" i="1"/>
  <c r="S369" i="1" a="1"/>
  <c r="S369" i="1" s="1"/>
  <c r="P368" i="1"/>
  <c r="S368" i="1" a="1"/>
  <c r="S368" i="1" s="1"/>
  <c r="P367" i="1"/>
  <c r="S367" i="1" a="1"/>
  <c r="S367" i="1" s="1"/>
  <c r="P366" i="1"/>
  <c r="S366" i="1" a="1"/>
  <c r="S366" i="1" s="1"/>
  <c r="R444" i="4" a="1"/>
  <c r="R444" i="4" s="1"/>
  <c r="C444" i="4"/>
  <c r="O444" i="4" s="1"/>
  <c r="R443" i="4" a="1"/>
  <c r="R443" i="4" s="1"/>
  <c r="C443" i="4"/>
  <c r="O443" i="4" s="1"/>
  <c r="R442" i="4" a="1"/>
  <c r="R442" i="4" s="1"/>
  <c r="C442" i="4"/>
  <c r="O442" i="4" s="1"/>
  <c r="R441" i="4" a="1"/>
  <c r="R441" i="4" s="1"/>
  <c r="C441" i="4"/>
  <c r="O441" i="4" s="1"/>
  <c r="R452" i="3" a="1"/>
  <c r="R452" i="3" s="1"/>
  <c r="S365" i="1" l="1" a="1"/>
  <c r="S365" i="1" s="1"/>
  <c r="P365" i="1"/>
  <c r="S364" i="1" a="1"/>
  <c r="S364" i="1" s="1"/>
  <c r="P364" i="1"/>
  <c r="S363" i="1" a="1"/>
  <c r="S363" i="1" s="1"/>
  <c r="P363" i="1"/>
  <c r="S362" i="1" a="1"/>
  <c r="S362" i="1" s="1"/>
  <c r="P362" i="1"/>
  <c r="S361" i="1" a="1"/>
  <c r="S361" i="1" s="1"/>
  <c r="P361" i="1"/>
  <c r="R440" i="4" a="1"/>
  <c r="R440" i="4" s="1"/>
  <c r="C440" i="4"/>
  <c r="O440" i="4" s="1"/>
  <c r="P360" i="1"/>
  <c r="S360" i="1" a="1"/>
  <c r="S360" i="1" s="1"/>
  <c r="O87" i="5"/>
  <c r="R87" i="5" a="1"/>
  <c r="R87" i="5" s="1"/>
  <c r="O86" i="5"/>
  <c r="R86" i="5" a="1"/>
  <c r="R86" i="5" s="1"/>
  <c r="O85" i="5"/>
  <c r="R85" i="5" a="1"/>
  <c r="R85" i="5" s="1"/>
  <c r="N84" i="5"/>
  <c r="O84" i="5" s="1"/>
  <c r="R451" i="3" a="1"/>
  <c r="R451" i="3" s="1"/>
  <c r="N451" i="3"/>
  <c r="O451" i="3" s="1"/>
  <c r="O450" i="3"/>
  <c r="R450" i="3" a="1"/>
  <c r="R450" i="3" s="1"/>
  <c r="R4" i="5" a="1"/>
  <c r="R4" i="5" s="1"/>
  <c r="R5" i="5" a="1"/>
  <c r="R5" i="5" s="1"/>
  <c r="R6" i="5" a="1"/>
  <c r="R6" i="5" s="1"/>
  <c r="R7" i="5" a="1"/>
  <c r="R7" i="5" s="1"/>
  <c r="R8" i="5" a="1"/>
  <c r="R8" i="5" s="1"/>
  <c r="R9" i="5" a="1"/>
  <c r="R9" i="5" s="1"/>
  <c r="R10" i="5" a="1"/>
  <c r="R10" i="5" s="1"/>
  <c r="R11" i="5" a="1"/>
  <c r="R11" i="5" s="1"/>
  <c r="R12" i="5" a="1"/>
  <c r="R12" i="5" s="1"/>
  <c r="R13" i="5" a="1"/>
  <c r="R13" i="5" s="1"/>
  <c r="R14" i="5" a="1"/>
  <c r="R14" i="5" s="1"/>
  <c r="R15" i="5" a="1"/>
  <c r="R15" i="5" s="1"/>
  <c r="R16" i="5" a="1"/>
  <c r="R16" i="5" s="1"/>
  <c r="R17" i="5" a="1"/>
  <c r="R17" i="5" s="1"/>
  <c r="R18" i="5" a="1"/>
  <c r="R18" i="5" s="1"/>
  <c r="R19" i="5" a="1"/>
  <c r="R19" i="5" s="1"/>
  <c r="R20" i="5" a="1"/>
  <c r="R20" i="5" s="1"/>
  <c r="R21" i="5" a="1"/>
  <c r="R21" i="5" s="1"/>
  <c r="R22" i="5" a="1"/>
  <c r="R22" i="5" s="1"/>
  <c r="R23" i="5" a="1"/>
  <c r="R23" i="5" s="1"/>
  <c r="R24" i="5" a="1"/>
  <c r="R24" i="5" s="1"/>
  <c r="R25" i="5" a="1"/>
  <c r="R25" i="5" s="1"/>
  <c r="R26" i="5" a="1"/>
  <c r="R26" i="5" s="1"/>
  <c r="R27" i="5" a="1"/>
  <c r="R27" i="5" s="1"/>
  <c r="R28" i="5" a="1"/>
  <c r="R28" i="5" s="1"/>
  <c r="R29" i="5" a="1"/>
  <c r="R29" i="5" s="1"/>
  <c r="R30" i="5" a="1"/>
  <c r="R30" i="5" s="1"/>
  <c r="R31" i="5" a="1"/>
  <c r="R31" i="5" s="1"/>
  <c r="R32" i="5" a="1"/>
  <c r="R32" i="5" s="1"/>
  <c r="R33" i="5" a="1"/>
  <c r="R33" i="5" s="1"/>
  <c r="R34" i="5" a="1"/>
  <c r="R34" i="5" s="1"/>
  <c r="R35" i="5" a="1"/>
  <c r="R35" i="5" s="1"/>
  <c r="R36" i="5" a="1"/>
  <c r="R36" i="5" s="1"/>
  <c r="R37" i="5" a="1"/>
  <c r="R37" i="5" s="1"/>
  <c r="R38" i="5" a="1"/>
  <c r="R38" i="5" s="1"/>
  <c r="R39" i="5" a="1"/>
  <c r="R39" i="5" s="1"/>
  <c r="R40" i="5" a="1"/>
  <c r="R40" i="5" s="1"/>
  <c r="R41" i="5" a="1"/>
  <c r="R41" i="5" s="1"/>
  <c r="R42" i="5" a="1"/>
  <c r="R42" i="5" s="1"/>
  <c r="R43" i="5" a="1"/>
  <c r="R43" i="5" s="1"/>
  <c r="R44" i="5" a="1"/>
  <c r="R44" i="5" s="1"/>
  <c r="R45" i="5" a="1"/>
  <c r="R45" i="5" s="1"/>
  <c r="R46" i="5" a="1"/>
  <c r="R46" i="5" s="1"/>
  <c r="R47" i="5" a="1"/>
  <c r="R47" i="5" s="1"/>
  <c r="R48" i="5" a="1"/>
  <c r="R48" i="5" s="1"/>
  <c r="R49" i="5" a="1"/>
  <c r="R49" i="5" s="1"/>
  <c r="R50" i="5" a="1"/>
  <c r="R50" i="5" s="1"/>
  <c r="R51" i="5" a="1"/>
  <c r="R51" i="5" s="1"/>
  <c r="R52" i="5" a="1"/>
  <c r="R52" i="5" s="1"/>
  <c r="R53" i="5" a="1"/>
  <c r="R53" i="5" s="1"/>
  <c r="R54" i="5" a="1"/>
  <c r="R54" i="5" s="1"/>
  <c r="R55" i="5" a="1"/>
  <c r="R55" i="5" s="1"/>
  <c r="R56" i="5" a="1"/>
  <c r="R56" i="5" s="1"/>
  <c r="R57" i="5" a="1"/>
  <c r="R57" i="5" s="1"/>
  <c r="R58" i="5" a="1"/>
  <c r="R58" i="5" s="1"/>
  <c r="R59" i="5" a="1"/>
  <c r="R59" i="5" s="1"/>
  <c r="R60" i="5" a="1"/>
  <c r="R60" i="5" s="1"/>
  <c r="R61" i="5" a="1"/>
  <c r="R61" i="5" s="1"/>
  <c r="R62" i="5" a="1"/>
  <c r="R62" i="5" s="1"/>
  <c r="R63" i="5" a="1"/>
  <c r="R63" i="5" s="1"/>
  <c r="R64" i="5" a="1"/>
  <c r="R64" i="5" s="1"/>
  <c r="R65" i="5" a="1"/>
  <c r="R65" i="5" s="1"/>
  <c r="R66" i="5" a="1"/>
  <c r="R66" i="5" s="1"/>
  <c r="R67" i="5" a="1"/>
  <c r="R67" i="5" s="1"/>
  <c r="R68" i="5" a="1"/>
  <c r="R68" i="5" s="1"/>
  <c r="R69" i="5" a="1"/>
  <c r="R69" i="5" s="1"/>
  <c r="R70" i="5" a="1"/>
  <c r="R70" i="5" s="1"/>
  <c r="R71" i="5" a="1"/>
  <c r="R71" i="5" s="1"/>
  <c r="R72" i="5" a="1"/>
  <c r="R72" i="5" s="1"/>
  <c r="R73" i="5" a="1"/>
  <c r="R73" i="5" s="1"/>
  <c r="R74" i="5" a="1"/>
  <c r="R74" i="5" s="1"/>
  <c r="R75" i="5" a="1"/>
  <c r="R75" i="5" s="1"/>
  <c r="R76" i="5" a="1"/>
  <c r="R76" i="5" s="1"/>
  <c r="R77" i="5" a="1"/>
  <c r="R77" i="5" s="1"/>
  <c r="R78" i="5" a="1"/>
  <c r="R78" i="5" s="1"/>
  <c r="R79" i="5" a="1"/>
  <c r="R79" i="5" s="1"/>
  <c r="R80" i="5" a="1"/>
  <c r="R80" i="5" s="1"/>
  <c r="R81" i="5" a="1"/>
  <c r="R81" i="5" s="1"/>
  <c r="R82" i="5" a="1"/>
  <c r="R82" i="5" s="1"/>
  <c r="R83" i="5" a="1"/>
  <c r="R83" i="5" s="1"/>
  <c r="R84" i="5" a="1"/>
  <c r="R84" i="5" s="1"/>
  <c r="R4" i="4" a="1"/>
  <c r="R4" i="4" s="1"/>
  <c r="R5" i="4" a="1"/>
  <c r="R5" i="4" s="1"/>
  <c r="R6" i="4" a="1"/>
  <c r="R6" i="4" s="1"/>
  <c r="R7" i="4" a="1"/>
  <c r="R7" i="4" s="1"/>
  <c r="R8" i="4" a="1"/>
  <c r="R8" i="4" s="1"/>
  <c r="R9" i="4" a="1"/>
  <c r="R9" i="4" s="1"/>
  <c r="R10" i="4" a="1"/>
  <c r="R10" i="4" s="1"/>
  <c r="R11" i="4" a="1"/>
  <c r="R11" i="4" s="1"/>
  <c r="R12" i="4" a="1"/>
  <c r="R12" i="4" s="1"/>
  <c r="R13" i="4" a="1"/>
  <c r="R13" i="4" s="1"/>
  <c r="R14" i="4" a="1"/>
  <c r="R14" i="4" s="1"/>
  <c r="R15" i="4" a="1"/>
  <c r="R15" i="4" s="1"/>
  <c r="R16" i="4" a="1"/>
  <c r="R16" i="4" s="1"/>
  <c r="R17" i="4" a="1"/>
  <c r="R17" i="4" s="1"/>
  <c r="R18" i="4" a="1"/>
  <c r="R18" i="4" s="1"/>
  <c r="R19" i="4" a="1"/>
  <c r="R19" i="4" s="1"/>
  <c r="R20" i="4" a="1"/>
  <c r="R20" i="4" s="1"/>
  <c r="R21" i="4" a="1"/>
  <c r="R21" i="4" s="1"/>
  <c r="R22" i="4" a="1"/>
  <c r="R22" i="4" s="1"/>
  <c r="R23" i="4" a="1"/>
  <c r="R23" i="4" s="1"/>
  <c r="R24" i="4" a="1"/>
  <c r="R24" i="4" s="1"/>
  <c r="R25" i="4" a="1"/>
  <c r="R25" i="4" s="1"/>
  <c r="R26" i="4" a="1"/>
  <c r="R26" i="4" s="1"/>
  <c r="R27" i="4" a="1"/>
  <c r="R27" i="4" s="1"/>
  <c r="R28" i="4" a="1"/>
  <c r="R28" i="4" s="1"/>
  <c r="R29" i="4" a="1"/>
  <c r="R29" i="4" s="1"/>
  <c r="R30" i="4" a="1"/>
  <c r="R30" i="4" s="1"/>
  <c r="R31" i="4" a="1"/>
  <c r="R31" i="4" s="1"/>
  <c r="R32" i="4" a="1"/>
  <c r="R32" i="4" s="1"/>
  <c r="R33" i="4" a="1"/>
  <c r="R33" i="4" s="1"/>
  <c r="R34" i="4" a="1"/>
  <c r="R34" i="4" s="1"/>
  <c r="R35" i="4" a="1"/>
  <c r="R35" i="4" s="1"/>
  <c r="R36" i="4" a="1"/>
  <c r="R36" i="4" s="1"/>
  <c r="R37" i="4" a="1"/>
  <c r="R37" i="4" s="1"/>
  <c r="R38" i="4" a="1"/>
  <c r="R38" i="4" s="1"/>
  <c r="R39" i="4" a="1"/>
  <c r="R39" i="4" s="1"/>
  <c r="R40" i="4" a="1"/>
  <c r="R40" i="4" s="1"/>
  <c r="R41" i="4" a="1"/>
  <c r="R41" i="4" s="1"/>
  <c r="R42" i="4" a="1"/>
  <c r="R42" i="4" s="1"/>
  <c r="R43" i="4" a="1"/>
  <c r="R43" i="4" s="1"/>
  <c r="R44" i="4" a="1"/>
  <c r="R44" i="4" s="1"/>
  <c r="R45" i="4" a="1"/>
  <c r="R45" i="4" s="1"/>
  <c r="R46" i="4" a="1"/>
  <c r="R46" i="4" s="1"/>
  <c r="R47" i="4" a="1"/>
  <c r="R47" i="4" s="1"/>
  <c r="R48" i="4" a="1"/>
  <c r="R48" i="4" s="1"/>
  <c r="R49" i="4" a="1"/>
  <c r="R49" i="4" s="1"/>
  <c r="R50" i="4" a="1"/>
  <c r="R50" i="4" s="1"/>
  <c r="R51" i="4" a="1"/>
  <c r="R51" i="4" s="1"/>
  <c r="R52" i="4" a="1"/>
  <c r="R52" i="4" s="1"/>
  <c r="R53" i="4" a="1"/>
  <c r="R53" i="4" s="1"/>
  <c r="R54" i="4" a="1"/>
  <c r="R54" i="4" s="1"/>
  <c r="R55" i="4" a="1"/>
  <c r="R55" i="4" s="1"/>
  <c r="R56" i="4" a="1"/>
  <c r="R56" i="4" s="1"/>
  <c r="R57" i="4" a="1"/>
  <c r="R57" i="4" s="1"/>
  <c r="R58" i="4" a="1"/>
  <c r="R58" i="4" s="1"/>
  <c r="R59" i="4" a="1"/>
  <c r="R59" i="4" s="1"/>
  <c r="R60" i="4" a="1"/>
  <c r="R60" i="4" s="1"/>
  <c r="R61" i="4" a="1"/>
  <c r="R61" i="4" s="1"/>
  <c r="R62" i="4" a="1"/>
  <c r="R62" i="4" s="1"/>
  <c r="R63" i="4" a="1"/>
  <c r="R63" i="4" s="1"/>
  <c r="R64" i="4" a="1"/>
  <c r="R64" i="4" s="1"/>
  <c r="R65" i="4" a="1"/>
  <c r="R65" i="4" s="1"/>
  <c r="R66" i="4" a="1"/>
  <c r="R66" i="4" s="1"/>
  <c r="R67" i="4" a="1"/>
  <c r="R67" i="4" s="1"/>
  <c r="R68" i="4" a="1"/>
  <c r="R68" i="4" s="1"/>
  <c r="R69" i="4" a="1"/>
  <c r="R69" i="4" s="1"/>
  <c r="R70" i="4" a="1"/>
  <c r="R70" i="4" s="1"/>
  <c r="R71" i="4" a="1"/>
  <c r="R71" i="4" s="1"/>
  <c r="R72" i="4" a="1"/>
  <c r="R72" i="4" s="1"/>
  <c r="R73" i="4" a="1"/>
  <c r="R73" i="4" s="1"/>
  <c r="R74" i="4" a="1"/>
  <c r="R74" i="4" s="1"/>
  <c r="R75" i="4" a="1"/>
  <c r="R75" i="4" s="1"/>
  <c r="R76" i="4" a="1"/>
  <c r="R76" i="4" s="1"/>
  <c r="R77" i="4" a="1"/>
  <c r="R77" i="4" s="1"/>
  <c r="R78" i="4" a="1"/>
  <c r="R78" i="4" s="1"/>
  <c r="R79" i="4" a="1"/>
  <c r="R79" i="4" s="1"/>
  <c r="R80" i="4" a="1"/>
  <c r="R80" i="4" s="1"/>
  <c r="R81" i="4" a="1"/>
  <c r="R81" i="4" s="1"/>
  <c r="R82" i="4" a="1"/>
  <c r="R82" i="4" s="1"/>
  <c r="R83" i="4" a="1"/>
  <c r="R83" i="4" s="1"/>
  <c r="R84" i="4" a="1"/>
  <c r="R84" i="4" s="1"/>
  <c r="R85" i="4" a="1"/>
  <c r="R85" i="4" s="1"/>
  <c r="R86" i="4" a="1"/>
  <c r="R86" i="4" s="1"/>
  <c r="R87" i="4" a="1"/>
  <c r="R87" i="4" s="1"/>
  <c r="R88" i="4" a="1"/>
  <c r="R88" i="4" s="1"/>
  <c r="R89" i="4" a="1"/>
  <c r="R89" i="4" s="1"/>
  <c r="R90" i="4" a="1"/>
  <c r="R90" i="4" s="1"/>
  <c r="R91" i="4" a="1"/>
  <c r="R91" i="4" s="1"/>
  <c r="R92" i="4" a="1"/>
  <c r="R92" i="4" s="1"/>
  <c r="R93" i="4" a="1"/>
  <c r="R93" i="4" s="1"/>
  <c r="R94" i="4" a="1"/>
  <c r="R94" i="4" s="1"/>
  <c r="R95" i="4" a="1"/>
  <c r="R95" i="4" s="1"/>
  <c r="R96" i="4" a="1"/>
  <c r="R96" i="4" s="1"/>
  <c r="R97" i="4" a="1"/>
  <c r="R97" i="4" s="1"/>
  <c r="R98" i="4" a="1"/>
  <c r="R98" i="4" s="1"/>
  <c r="R99" i="4" a="1"/>
  <c r="R99" i="4" s="1"/>
  <c r="R100" i="4" a="1"/>
  <c r="R100" i="4" s="1"/>
  <c r="R101" i="4" a="1"/>
  <c r="R101" i="4" s="1"/>
  <c r="R102" i="4" a="1"/>
  <c r="R102" i="4" s="1"/>
  <c r="R103" i="4" a="1"/>
  <c r="R103" i="4" s="1"/>
  <c r="R104" i="4" a="1"/>
  <c r="R104" i="4" s="1"/>
  <c r="R105" i="4" a="1"/>
  <c r="R105" i="4" s="1"/>
  <c r="R106" i="4" a="1"/>
  <c r="R106" i="4" s="1"/>
  <c r="R107" i="4" a="1"/>
  <c r="R107" i="4" s="1"/>
  <c r="R108" i="4" a="1"/>
  <c r="R108" i="4" s="1"/>
  <c r="R109" i="4" a="1"/>
  <c r="R109" i="4" s="1"/>
  <c r="R110" i="4" a="1"/>
  <c r="R110" i="4" s="1"/>
  <c r="R111" i="4" a="1"/>
  <c r="R111" i="4" s="1"/>
  <c r="R112" i="4" a="1"/>
  <c r="R112" i="4" s="1"/>
  <c r="R113" i="4" a="1"/>
  <c r="R113" i="4" s="1"/>
  <c r="R114" i="4" a="1"/>
  <c r="R114" i="4" s="1"/>
  <c r="R115" i="4" a="1"/>
  <c r="R115" i="4" s="1"/>
  <c r="R116" i="4" a="1"/>
  <c r="R116" i="4" s="1"/>
  <c r="R117" i="4" a="1"/>
  <c r="R117" i="4" s="1"/>
  <c r="R118" i="4" a="1"/>
  <c r="R118" i="4" s="1"/>
  <c r="R119" i="4" a="1"/>
  <c r="R119" i="4" s="1"/>
  <c r="R120" i="4" a="1"/>
  <c r="R120" i="4" s="1"/>
  <c r="R121" i="4" a="1"/>
  <c r="R121" i="4" s="1"/>
  <c r="R122" i="4" a="1"/>
  <c r="R122" i="4" s="1"/>
  <c r="R123" i="4" a="1"/>
  <c r="R123" i="4" s="1"/>
  <c r="R124" i="4" a="1"/>
  <c r="R124" i="4" s="1"/>
  <c r="R125" i="4" a="1"/>
  <c r="R125" i="4" s="1"/>
  <c r="R126" i="4" a="1"/>
  <c r="R126" i="4" s="1"/>
  <c r="R127" i="4" a="1"/>
  <c r="R127" i="4" s="1"/>
  <c r="R128" i="4" a="1"/>
  <c r="R128" i="4" s="1"/>
  <c r="R129" i="4" a="1"/>
  <c r="R129" i="4" s="1"/>
  <c r="R130" i="4" a="1"/>
  <c r="R130" i="4" s="1"/>
  <c r="R131" i="4" a="1"/>
  <c r="R131" i="4" s="1"/>
  <c r="R132" i="4" a="1"/>
  <c r="R132" i="4" s="1"/>
  <c r="R133" i="4" a="1"/>
  <c r="R133" i="4" s="1"/>
  <c r="R134" i="4" a="1"/>
  <c r="R134" i="4" s="1"/>
  <c r="R135" i="4" a="1"/>
  <c r="R135" i="4" s="1"/>
  <c r="R136" i="4" a="1"/>
  <c r="R136" i="4" s="1"/>
  <c r="R137" i="4" a="1"/>
  <c r="R137" i="4" s="1"/>
  <c r="R138" i="4" a="1"/>
  <c r="R138" i="4" s="1"/>
  <c r="R139" i="4" a="1"/>
  <c r="R139" i="4" s="1"/>
  <c r="R140" i="4" a="1"/>
  <c r="R140" i="4" s="1"/>
  <c r="R141" i="4" a="1"/>
  <c r="R141" i="4" s="1"/>
  <c r="R142" i="4" a="1"/>
  <c r="R142" i="4" s="1"/>
  <c r="R143" i="4" a="1"/>
  <c r="R143" i="4" s="1"/>
  <c r="R144" i="4" a="1"/>
  <c r="R144" i="4" s="1"/>
  <c r="R145" i="4" a="1"/>
  <c r="R145" i="4" s="1"/>
  <c r="R146" i="4" a="1"/>
  <c r="R146" i="4" s="1"/>
  <c r="R147" i="4" a="1"/>
  <c r="R147" i="4" s="1"/>
  <c r="R148" i="4" a="1"/>
  <c r="R148" i="4" s="1"/>
  <c r="R149" i="4" a="1"/>
  <c r="R149" i="4" s="1"/>
  <c r="R150" i="4" a="1"/>
  <c r="R150" i="4" s="1"/>
  <c r="R151" i="4" a="1"/>
  <c r="R151" i="4" s="1"/>
  <c r="R152" i="4" a="1"/>
  <c r="R152" i="4" s="1"/>
  <c r="R153" i="4" a="1"/>
  <c r="R153" i="4" s="1"/>
  <c r="R154" i="4" a="1"/>
  <c r="R154" i="4" s="1"/>
  <c r="R155" i="4" a="1"/>
  <c r="R155" i="4" s="1"/>
  <c r="R156" i="4" a="1"/>
  <c r="R156" i="4" s="1"/>
  <c r="R157" i="4" a="1"/>
  <c r="R157" i="4" s="1"/>
  <c r="R158" i="4" a="1"/>
  <c r="R158" i="4" s="1"/>
  <c r="R159" i="4" a="1"/>
  <c r="R159" i="4" s="1"/>
  <c r="R160" i="4" a="1"/>
  <c r="R160" i="4" s="1"/>
  <c r="R161" i="4" a="1"/>
  <c r="R161" i="4" s="1"/>
  <c r="R162" i="4" a="1"/>
  <c r="R162" i="4" s="1"/>
  <c r="R163" i="4" a="1"/>
  <c r="R163" i="4" s="1"/>
  <c r="R164" i="4" a="1"/>
  <c r="R164" i="4" s="1"/>
  <c r="R165" i="4" a="1"/>
  <c r="R165" i="4" s="1"/>
  <c r="R166" i="4" a="1"/>
  <c r="R166" i="4" s="1"/>
  <c r="R167" i="4" a="1"/>
  <c r="R167" i="4" s="1"/>
  <c r="R168" i="4" a="1"/>
  <c r="R168" i="4" s="1"/>
  <c r="R169" i="4" a="1"/>
  <c r="R169" i="4" s="1"/>
  <c r="R170" i="4" a="1"/>
  <c r="R170" i="4" s="1"/>
  <c r="R171" i="4" a="1"/>
  <c r="R171" i="4" s="1"/>
  <c r="R172" i="4" a="1"/>
  <c r="R172" i="4" s="1"/>
  <c r="R173" i="4" a="1"/>
  <c r="R173" i="4" s="1"/>
  <c r="R174" i="4" a="1"/>
  <c r="R174" i="4" s="1"/>
  <c r="R175" i="4" a="1"/>
  <c r="R175" i="4" s="1"/>
  <c r="R176" i="4" a="1"/>
  <c r="R176" i="4" s="1"/>
  <c r="R177" i="4" a="1"/>
  <c r="R177" i="4" s="1"/>
  <c r="R178" i="4" a="1"/>
  <c r="R178" i="4" s="1"/>
  <c r="R179" i="4" a="1"/>
  <c r="R179" i="4" s="1"/>
  <c r="R180" i="4" a="1"/>
  <c r="R180" i="4" s="1"/>
  <c r="R181" i="4" a="1"/>
  <c r="R181" i="4" s="1"/>
  <c r="R182" i="4" a="1"/>
  <c r="R182" i="4" s="1"/>
  <c r="R183" i="4" a="1"/>
  <c r="R183" i="4" s="1"/>
  <c r="R184" i="4" a="1"/>
  <c r="R184" i="4" s="1"/>
  <c r="R185" i="4" a="1"/>
  <c r="R185" i="4" s="1"/>
  <c r="R186" i="4" a="1"/>
  <c r="R186" i="4" s="1"/>
  <c r="R187" i="4" a="1"/>
  <c r="R187" i="4" s="1"/>
  <c r="R188" i="4" a="1"/>
  <c r="R188" i="4" s="1"/>
  <c r="R189" i="4" a="1"/>
  <c r="R189" i="4" s="1"/>
  <c r="R190" i="4" a="1"/>
  <c r="R190" i="4" s="1"/>
  <c r="R191" i="4" a="1"/>
  <c r="R191" i="4" s="1"/>
  <c r="R192" i="4" a="1"/>
  <c r="R192" i="4" s="1"/>
  <c r="R193" i="4" a="1"/>
  <c r="R193" i="4" s="1"/>
  <c r="R194" i="4" a="1"/>
  <c r="R194" i="4" s="1"/>
  <c r="R195" i="4" a="1"/>
  <c r="R195" i="4" s="1"/>
  <c r="R196" i="4" a="1"/>
  <c r="R196" i="4" s="1"/>
  <c r="R197" i="4" a="1"/>
  <c r="R197" i="4" s="1"/>
  <c r="R198" i="4" a="1"/>
  <c r="R198" i="4" s="1"/>
  <c r="R199" i="4" a="1"/>
  <c r="R199" i="4" s="1"/>
  <c r="R200" i="4" a="1"/>
  <c r="R200" i="4" s="1"/>
  <c r="R201" i="4" a="1"/>
  <c r="R201" i="4" s="1"/>
  <c r="R202" i="4" a="1"/>
  <c r="R202" i="4" s="1"/>
  <c r="R203" i="4" a="1"/>
  <c r="R203" i="4" s="1"/>
  <c r="R204" i="4" a="1"/>
  <c r="R204" i="4" s="1"/>
  <c r="R205" i="4" a="1"/>
  <c r="R205" i="4" s="1"/>
  <c r="R206" i="4" a="1"/>
  <c r="R206" i="4" s="1"/>
  <c r="R207" i="4" a="1"/>
  <c r="R207" i="4" s="1"/>
  <c r="R208" i="4" a="1"/>
  <c r="R208" i="4" s="1"/>
  <c r="R209" i="4" a="1"/>
  <c r="R209" i="4" s="1"/>
  <c r="R210" i="4" a="1"/>
  <c r="R210" i="4" s="1"/>
  <c r="R211" i="4" a="1"/>
  <c r="R211" i="4" s="1"/>
  <c r="R212" i="4" a="1"/>
  <c r="R212" i="4" s="1"/>
  <c r="R213" i="4" a="1"/>
  <c r="R213" i="4" s="1"/>
  <c r="R214" i="4" a="1"/>
  <c r="R214" i="4" s="1"/>
  <c r="R215" i="4" a="1"/>
  <c r="R215" i="4" s="1"/>
  <c r="R216" i="4" a="1"/>
  <c r="R216" i="4" s="1"/>
  <c r="R217" i="4" a="1"/>
  <c r="R217" i="4" s="1"/>
  <c r="R218" i="4" a="1"/>
  <c r="R218" i="4" s="1"/>
  <c r="R219" i="4" a="1"/>
  <c r="R219" i="4" s="1"/>
  <c r="R220" i="4" a="1"/>
  <c r="R220" i="4" s="1"/>
  <c r="R221" i="4" a="1"/>
  <c r="R221" i="4" s="1"/>
  <c r="R222" i="4" a="1"/>
  <c r="R222" i="4" s="1"/>
  <c r="R223" i="4" a="1"/>
  <c r="R223" i="4" s="1"/>
  <c r="R224" i="4" a="1"/>
  <c r="R224" i="4" s="1"/>
  <c r="R225" i="4" a="1"/>
  <c r="R225" i="4" s="1"/>
  <c r="R226" i="4" a="1"/>
  <c r="R226" i="4" s="1"/>
  <c r="R227" i="4" a="1"/>
  <c r="R227" i="4" s="1"/>
  <c r="R228" i="4" a="1"/>
  <c r="R228" i="4" s="1"/>
  <c r="R229" i="4" a="1"/>
  <c r="R229" i="4" s="1"/>
  <c r="R230" i="4" a="1"/>
  <c r="R230" i="4" s="1"/>
  <c r="R231" i="4" a="1"/>
  <c r="R231" i="4" s="1"/>
  <c r="R232" i="4" a="1"/>
  <c r="R232" i="4" s="1"/>
  <c r="R233" i="4" a="1"/>
  <c r="R233" i="4" s="1"/>
  <c r="R234" i="4" a="1"/>
  <c r="R234" i="4" s="1"/>
  <c r="R235" i="4" a="1"/>
  <c r="R235" i="4" s="1"/>
  <c r="R236" i="4" a="1"/>
  <c r="R236" i="4" s="1"/>
  <c r="R237" i="4" a="1"/>
  <c r="R237" i="4" s="1"/>
  <c r="R238" i="4" a="1"/>
  <c r="R238" i="4" s="1"/>
  <c r="R239" i="4" a="1"/>
  <c r="R239" i="4" s="1"/>
  <c r="R240" i="4" a="1"/>
  <c r="R240" i="4" s="1"/>
  <c r="R241" i="4" a="1"/>
  <c r="R241" i="4" s="1"/>
  <c r="R242" i="4" a="1"/>
  <c r="R242" i="4" s="1"/>
  <c r="R243" i="4" a="1"/>
  <c r="R243" i="4" s="1"/>
  <c r="R244" i="4" a="1"/>
  <c r="R244" i="4" s="1"/>
  <c r="R245" i="4" a="1"/>
  <c r="R245" i="4" s="1"/>
  <c r="R246" i="4" a="1"/>
  <c r="R246" i="4" s="1"/>
  <c r="R247" i="4" a="1"/>
  <c r="R247" i="4" s="1"/>
  <c r="R248" i="4" a="1"/>
  <c r="R248" i="4" s="1"/>
  <c r="R249" i="4" a="1"/>
  <c r="R249" i="4" s="1"/>
  <c r="R250" i="4" a="1"/>
  <c r="R250" i="4" s="1"/>
  <c r="R251" i="4" a="1"/>
  <c r="R251" i="4" s="1"/>
  <c r="R252" i="4" a="1"/>
  <c r="R252" i="4" s="1"/>
  <c r="R253" i="4" a="1"/>
  <c r="R253" i="4" s="1"/>
  <c r="R254" i="4" a="1"/>
  <c r="R254" i="4" s="1"/>
  <c r="R255" i="4" a="1"/>
  <c r="R255" i="4" s="1"/>
  <c r="R256" i="4" a="1"/>
  <c r="R256" i="4" s="1"/>
  <c r="R257" i="4" a="1"/>
  <c r="R257" i="4" s="1"/>
  <c r="R258" i="4" a="1"/>
  <c r="R258" i="4" s="1"/>
  <c r="R259" i="4" a="1"/>
  <c r="R259" i="4" s="1"/>
  <c r="R260" i="4" a="1"/>
  <c r="R260" i="4" s="1"/>
  <c r="R261" i="4" a="1"/>
  <c r="R261" i="4" s="1"/>
  <c r="R262" i="4" a="1"/>
  <c r="R262" i="4" s="1"/>
  <c r="R263" i="4" a="1"/>
  <c r="R263" i="4" s="1"/>
  <c r="R264" i="4" a="1"/>
  <c r="R264" i="4" s="1"/>
  <c r="R265" i="4" a="1"/>
  <c r="R265" i="4" s="1"/>
  <c r="R266" i="4" a="1"/>
  <c r="R266" i="4" s="1"/>
  <c r="R267" i="4" a="1"/>
  <c r="R267" i="4" s="1"/>
  <c r="R268" i="4" a="1"/>
  <c r="R268" i="4" s="1"/>
  <c r="R269" i="4" a="1"/>
  <c r="R269" i="4" s="1"/>
  <c r="R270" i="4" a="1"/>
  <c r="R270" i="4" s="1"/>
  <c r="R271" i="4" a="1"/>
  <c r="R271" i="4" s="1"/>
  <c r="R272" i="4" a="1"/>
  <c r="R272" i="4" s="1"/>
  <c r="R273" i="4" a="1"/>
  <c r="R273" i="4" s="1"/>
  <c r="R274" i="4" a="1"/>
  <c r="R274" i="4" s="1"/>
  <c r="R275" i="4" a="1"/>
  <c r="R275" i="4" s="1"/>
  <c r="R276" i="4" a="1"/>
  <c r="R276" i="4" s="1"/>
  <c r="R277" i="4" a="1"/>
  <c r="R277" i="4" s="1"/>
  <c r="R278" i="4" a="1"/>
  <c r="R278" i="4" s="1"/>
  <c r="R279" i="4" a="1"/>
  <c r="R279" i="4" s="1"/>
  <c r="R280" i="4" a="1"/>
  <c r="R280" i="4" s="1"/>
  <c r="R281" i="4" a="1"/>
  <c r="R281" i="4" s="1"/>
  <c r="R282" i="4" a="1"/>
  <c r="R282" i="4" s="1"/>
  <c r="R283" i="4" a="1"/>
  <c r="R283" i="4" s="1"/>
  <c r="R284" i="4" a="1"/>
  <c r="R284" i="4" s="1"/>
  <c r="R285" i="4" a="1"/>
  <c r="R285" i="4" s="1"/>
  <c r="R286" i="4" a="1"/>
  <c r="R286" i="4" s="1"/>
  <c r="R287" i="4" a="1"/>
  <c r="R287" i="4" s="1"/>
  <c r="R288" i="4" a="1"/>
  <c r="R288" i="4" s="1"/>
  <c r="R289" i="4" a="1"/>
  <c r="R289" i="4" s="1"/>
  <c r="R290" i="4" a="1"/>
  <c r="R290" i="4" s="1"/>
  <c r="R291" i="4" a="1"/>
  <c r="R291" i="4" s="1"/>
  <c r="R292" i="4" a="1"/>
  <c r="R292" i="4" s="1"/>
  <c r="R293" i="4" a="1"/>
  <c r="R293" i="4" s="1"/>
  <c r="R294" i="4" a="1"/>
  <c r="R294" i="4" s="1"/>
  <c r="R295" i="4" a="1"/>
  <c r="R295" i="4" s="1"/>
  <c r="R296" i="4" a="1"/>
  <c r="R296" i="4" s="1"/>
  <c r="R297" i="4" a="1"/>
  <c r="R297" i="4" s="1"/>
  <c r="R298" i="4" a="1"/>
  <c r="R298" i="4" s="1"/>
  <c r="R299" i="4" a="1"/>
  <c r="R299" i="4" s="1"/>
  <c r="R300" i="4" a="1"/>
  <c r="R300" i="4" s="1"/>
  <c r="R301" i="4" a="1"/>
  <c r="R301" i="4" s="1"/>
  <c r="R302" i="4" a="1"/>
  <c r="R302" i="4" s="1"/>
  <c r="R303" i="4" a="1"/>
  <c r="R303" i="4" s="1"/>
  <c r="R304" i="4" a="1"/>
  <c r="R304" i="4" s="1"/>
  <c r="R305" i="4" a="1"/>
  <c r="R305" i="4" s="1"/>
  <c r="R306" i="4" a="1"/>
  <c r="R306" i="4" s="1"/>
  <c r="R307" i="4" a="1"/>
  <c r="R307" i="4" s="1"/>
  <c r="R308" i="4" a="1"/>
  <c r="R308" i="4" s="1"/>
  <c r="R309" i="4" a="1"/>
  <c r="R309" i="4" s="1"/>
  <c r="R310" i="4" a="1"/>
  <c r="R310" i="4" s="1"/>
  <c r="R311" i="4" a="1"/>
  <c r="R311" i="4" s="1"/>
  <c r="R312" i="4" a="1"/>
  <c r="R312" i="4" s="1"/>
  <c r="R313" i="4" a="1"/>
  <c r="R313" i="4" s="1"/>
  <c r="R314" i="4" a="1"/>
  <c r="R314" i="4" s="1"/>
  <c r="R315" i="4" a="1"/>
  <c r="R315" i="4" s="1"/>
  <c r="R316" i="4" a="1"/>
  <c r="R316" i="4" s="1"/>
  <c r="R317" i="4" a="1"/>
  <c r="R317" i="4" s="1"/>
  <c r="R318" i="4" a="1"/>
  <c r="R318" i="4" s="1"/>
  <c r="R319" i="4" a="1"/>
  <c r="R319" i="4" s="1"/>
  <c r="R320" i="4" a="1"/>
  <c r="R320" i="4" s="1"/>
  <c r="R321" i="4" a="1"/>
  <c r="R321" i="4" s="1"/>
  <c r="R322" i="4" a="1"/>
  <c r="R322" i="4" s="1"/>
  <c r="R323" i="4" a="1"/>
  <c r="R323" i="4" s="1"/>
  <c r="R324" i="4" a="1"/>
  <c r="R324" i="4" s="1"/>
  <c r="R325" i="4" a="1"/>
  <c r="R325" i="4" s="1"/>
  <c r="R326" i="4" a="1"/>
  <c r="R326" i="4" s="1"/>
  <c r="R327" i="4" a="1"/>
  <c r="R327" i="4" s="1"/>
  <c r="R328" i="4" a="1"/>
  <c r="R328" i="4" s="1"/>
  <c r="R329" i="4" a="1"/>
  <c r="R329" i="4" s="1"/>
  <c r="R330" i="4" a="1"/>
  <c r="R330" i="4" s="1"/>
  <c r="R331" i="4" a="1"/>
  <c r="R331" i="4" s="1"/>
  <c r="R332" i="4" a="1"/>
  <c r="R332" i="4" s="1"/>
  <c r="R333" i="4" a="1"/>
  <c r="R333" i="4" s="1"/>
  <c r="R334" i="4" a="1"/>
  <c r="R334" i="4" s="1"/>
  <c r="R335" i="4" a="1"/>
  <c r="R335" i="4" s="1"/>
  <c r="R336" i="4" a="1"/>
  <c r="R336" i="4" s="1"/>
  <c r="R337" i="4" a="1"/>
  <c r="R337" i="4" s="1"/>
  <c r="R338" i="4" a="1"/>
  <c r="R338" i="4" s="1"/>
  <c r="R339" i="4" a="1"/>
  <c r="R339" i="4" s="1"/>
  <c r="R340" i="4" a="1"/>
  <c r="R340" i="4" s="1"/>
  <c r="R341" i="4" a="1"/>
  <c r="R341" i="4" s="1"/>
  <c r="R342" i="4" a="1"/>
  <c r="R342" i="4" s="1"/>
  <c r="R343" i="4" a="1"/>
  <c r="R343" i="4" s="1"/>
  <c r="R344" i="4" a="1"/>
  <c r="R344" i="4" s="1"/>
  <c r="R345" i="4" a="1"/>
  <c r="R345" i="4" s="1"/>
  <c r="R346" i="4" a="1"/>
  <c r="R346" i="4" s="1"/>
  <c r="R347" i="4" a="1"/>
  <c r="R347" i="4" s="1"/>
  <c r="R348" i="4" a="1"/>
  <c r="R348" i="4" s="1"/>
  <c r="R349" i="4" a="1"/>
  <c r="R349" i="4" s="1"/>
  <c r="R350" i="4" a="1"/>
  <c r="R350" i="4" s="1"/>
  <c r="R351" i="4" a="1"/>
  <c r="R351" i="4" s="1"/>
  <c r="R352" i="4" a="1"/>
  <c r="R352" i="4" s="1"/>
  <c r="R353" i="4" a="1"/>
  <c r="R353" i="4" s="1"/>
  <c r="R354" i="4" a="1"/>
  <c r="R354" i="4" s="1"/>
  <c r="R355" i="4" a="1"/>
  <c r="R355" i="4" s="1"/>
  <c r="R356" i="4" a="1"/>
  <c r="R356" i="4" s="1"/>
  <c r="R357" i="4" a="1"/>
  <c r="R357" i="4" s="1"/>
  <c r="R358" i="4" a="1"/>
  <c r="R358" i="4" s="1"/>
  <c r="R359" i="4" a="1"/>
  <c r="R359" i="4" s="1"/>
  <c r="R360" i="4" a="1"/>
  <c r="R360" i="4" s="1"/>
  <c r="R361" i="4" a="1"/>
  <c r="R361" i="4" s="1"/>
  <c r="R362" i="4" a="1"/>
  <c r="R362" i="4" s="1"/>
  <c r="R363" i="4" a="1"/>
  <c r="R363" i="4" s="1"/>
  <c r="R364" i="4" a="1"/>
  <c r="R364" i="4" s="1"/>
  <c r="R365" i="4" a="1"/>
  <c r="R365" i="4" s="1"/>
  <c r="R366" i="4" a="1"/>
  <c r="R366" i="4" s="1"/>
  <c r="R367" i="4" a="1"/>
  <c r="R367" i="4" s="1"/>
  <c r="R368" i="4" a="1"/>
  <c r="R368" i="4" s="1"/>
  <c r="R369" i="4" a="1"/>
  <c r="R369" i="4" s="1"/>
  <c r="R370" i="4" a="1"/>
  <c r="R370" i="4" s="1"/>
  <c r="R371" i="4" a="1"/>
  <c r="R371" i="4" s="1"/>
  <c r="R372" i="4" a="1"/>
  <c r="R372" i="4" s="1"/>
  <c r="R373" i="4" a="1"/>
  <c r="R373" i="4" s="1"/>
  <c r="R374" i="4" a="1"/>
  <c r="R374" i="4" s="1"/>
  <c r="R375" i="4" a="1"/>
  <c r="R375" i="4" s="1"/>
  <c r="R376" i="4" a="1"/>
  <c r="R376" i="4" s="1"/>
  <c r="R377" i="4" a="1"/>
  <c r="R377" i="4" s="1"/>
  <c r="R378" i="4" a="1"/>
  <c r="R378" i="4" s="1"/>
  <c r="R379" i="4" a="1"/>
  <c r="R379" i="4" s="1"/>
  <c r="R381" i="4" a="1"/>
  <c r="R381" i="4" s="1"/>
  <c r="R382" i="4" a="1"/>
  <c r="R382" i="4" s="1"/>
  <c r="R383" i="4" a="1"/>
  <c r="R383" i="4" s="1"/>
  <c r="R384" i="4" a="1"/>
  <c r="R384" i="4" s="1"/>
  <c r="R385" i="4" a="1"/>
  <c r="R385" i="4" s="1"/>
  <c r="R386" i="4" a="1"/>
  <c r="R386" i="4" s="1"/>
  <c r="R387" i="4" a="1"/>
  <c r="R387" i="4" s="1"/>
  <c r="R388" i="4" a="1"/>
  <c r="R388" i="4" s="1"/>
  <c r="R389" i="4" a="1"/>
  <c r="R389" i="4" s="1"/>
  <c r="R390" i="4" a="1"/>
  <c r="R390" i="4" s="1"/>
  <c r="R391" i="4" a="1"/>
  <c r="R391" i="4" s="1"/>
  <c r="R392" i="4" a="1"/>
  <c r="R392" i="4" s="1"/>
  <c r="R393" i="4" a="1"/>
  <c r="R393" i="4" s="1"/>
  <c r="R394" i="4" a="1"/>
  <c r="R394" i="4" s="1"/>
  <c r="R395" i="4" a="1"/>
  <c r="R395" i="4" s="1"/>
  <c r="R396" i="4" a="1"/>
  <c r="R396" i="4" s="1"/>
  <c r="R397" i="4" a="1"/>
  <c r="R397" i="4" s="1"/>
  <c r="R398" i="4" a="1"/>
  <c r="R398" i="4" s="1"/>
  <c r="R399" i="4" a="1"/>
  <c r="R399" i="4" s="1"/>
  <c r="R400" i="4" a="1"/>
  <c r="R400" i="4" s="1"/>
  <c r="R401" i="4" a="1"/>
  <c r="R401" i="4" s="1"/>
  <c r="R402" i="4" a="1"/>
  <c r="R402" i="4" s="1"/>
  <c r="R403" i="4" a="1"/>
  <c r="R403" i="4" s="1"/>
  <c r="R404" i="4" a="1"/>
  <c r="R404" i="4" s="1"/>
  <c r="R405" i="4" a="1"/>
  <c r="R405" i="4" s="1"/>
  <c r="R406" i="4" a="1"/>
  <c r="R406" i="4" s="1"/>
  <c r="R407" i="4" a="1"/>
  <c r="R407" i="4" s="1"/>
  <c r="R408" i="4" a="1"/>
  <c r="R408" i="4" s="1"/>
  <c r="R409" i="4" a="1"/>
  <c r="R409" i="4" s="1"/>
  <c r="R410" i="4" a="1"/>
  <c r="R410" i="4" s="1"/>
  <c r="R411" i="4" a="1"/>
  <c r="R411" i="4" s="1"/>
  <c r="R412" i="4" a="1"/>
  <c r="R412" i="4" s="1"/>
  <c r="R413" i="4" a="1"/>
  <c r="R413" i="4" s="1"/>
  <c r="R414" i="4" a="1"/>
  <c r="R414" i="4" s="1"/>
  <c r="R415" i="4" a="1"/>
  <c r="R415" i="4" s="1"/>
  <c r="R416" i="4" a="1"/>
  <c r="R416" i="4" s="1"/>
  <c r="R417" i="4" a="1"/>
  <c r="R417" i="4" s="1"/>
  <c r="R418" i="4" a="1"/>
  <c r="R418" i="4" s="1"/>
  <c r="R419" i="4" a="1"/>
  <c r="R419" i="4" s="1"/>
  <c r="R420" i="4" a="1"/>
  <c r="R420" i="4" s="1"/>
  <c r="R421" i="4" a="1"/>
  <c r="R421" i="4" s="1"/>
  <c r="R422" i="4" a="1"/>
  <c r="R422" i="4" s="1"/>
  <c r="R423" i="4" a="1"/>
  <c r="R423" i="4" s="1"/>
  <c r="R424" i="4" a="1"/>
  <c r="R424" i="4" s="1"/>
  <c r="R425" i="4" a="1"/>
  <c r="R425" i="4" s="1"/>
  <c r="R426" i="4" a="1"/>
  <c r="R426" i="4" s="1"/>
  <c r="R427" i="4" a="1"/>
  <c r="R427" i="4" s="1"/>
  <c r="R428" i="4" a="1"/>
  <c r="R428" i="4" s="1"/>
  <c r="R429" i="4" a="1"/>
  <c r="R429" i="4" s="1"/>
  <c r="R430" i="4" a="1"/>
  <c r="R430" i="4" s="1"/>
  <c r="R431" i="4" a="1"/>
  <c r="R431" i="4" s="1"/>
  <c r="R432" i="4" a="1"/>
  <c r="R432" i="4" s="1"/>
  <c r="R433" i="4" a="1"/>
  <c r="R433" i="4" s="1"/>
  <c r="R434" i="4" a="1"/>
  <c r="R434" i="4" s="1"/>
  <c r="R435" i="4" a="1"/>
  <c r="R435" i="4" s="1"/>
  <c r="R436" i="4" a="1"/>
  <c r="R436" i="4" s="1"/>
  <c r="R437" i="4" a="1"/>
  <c r="R437" i="4" s="1"/>
  <c r="R438" i="4" a="1"/>
  <c r="R438" i="4" s="1"/>
  <c r="R439" i="4" a="1"/>
  <c r="R439" i="4" s="1"/>
  <c r="R2" i="3" a="1"/>
  <c r="R2" i="3" s="1"/>
  <c r="R3" i="3" a="1"/>
  <c r="R3" i="3" s="1"/>
  <c r="R4" i="3" a="1"/>
  <c r="R4" i="3" s="1"/>
  <c r="R5" i="3" a="1"/>
  <c r="R5" i="3" s="1"/>
  <c r="R6" i="3" a="1"/>
  <c r="R6" i="3" s="1"/>
  <c r="R7" i="3" a="1"/>
  <c r="R7" i="3" s="1"/>
  <c r="R8" i="3" a="1"/>
  <c r="R8" i="3" s="1"/>
  <c r="R9" i="3" a="1"/>
  <c r="R9" i="3" s="1"/>
  <c r="R10" i="3" a="1"/>
  <c r="R10" i="3" s="1"/>
  <c r="R11" i="3" a="1"/>
  <c r="R11" i="3" s="1"/>
  <c r="R12" i="3" a="1"/>
  <c r="R12" i="3" s="1"/>
  <c r="R13" i="3" a="1"/>
  <c r="R13" i="3" s="1"/>
  <c r="R14" i="3" a="1"/>
  <c r="R14" i="3" s="1"/>
  <c r="R15" i="3" a="1"/>
  <c r="R15" i="3" s="1"/>
  <c r="R16" i="3" a="1"/>
  <c r="R16" i="3" s="1"/>
  <c r="R17" i="3" a="1"/>
  <c r="R17" i="3" s="1"/>
  <c r="R18" i="3" a="1"/>
  <c r="R18" i="3" s="1"/>
  <c r="R19" i="3" a="1"/>
  <c r="R19" i="3" s="1"/>
  <c r="R20" i="3" a="1"/>
  <c r="R20" i="3" s="1"/>
  <c r="R21" i="3" a="1"/>
  <c r="R21" i="3" s="1"/>
  <c r="R22" i="3" a="1"/>
  <c r="R22" i="3" s="1"/>
  <c r="R23" i="3" a="1"/>
  <c r="R23" i="3" s="1"/>
  <c r="R24" i="3" a="1"/>
  <c r="R24" i="3" s="1"/>
  <c r="R25" i="3" a="1"/>
  <c r="R25" i="3" s="1"/>
  <c r="R26" i="3" a="1"/>
  <c r="R26" i="3" s="1"/>
  <c r="R27" i="3" a="1"/>
  <c r="R27" i="3" s="1"/>
  <c r="R28" i="3" a="1"/>
  <c r="R28" i="3" s="1"/>
  <c r="R29" i="3" a="1"/>
  <c r="R29" i="3" s="1"/>
  <c r="R30" i="3" a="1"/>
  <c r="R30" i="3" s="1"/>
  <c r="R31" i="3" a="1"/>
  <c r="R31" i="3" s="1"/>
  <c r="R32" i="3" a="1"/>
  <c r="R32" i="3" s="1"/>
  <c r="R33" i="3" a="1"/>
  <c r="R33" i="3" s="1"/>
  <c r="R34" i="3" a="1"/>
  <c r="R34" i="3" s="1"/>
  <c r="R35" i="3" a="1"/>
  <c r="R35" i="3" s="1"/>
  <c r="R36" i="3" a="1"/>
  <c r="R36" i="3" s="1"/>
  <c r="R37" i="3" a="1"/>
  <c r="R37" i="3" s="1"/>
  <c r="R38" i="3" a="1"/>
  <c r="R38" i="3" s="1"/>
  <c r="R39" i="3" a="1"/>
  <c r="R39" i="3" s="1"/>
  <c r="R40" i="3" a="1"/>
  <c r="R40" i="3" s="1"/>
  <c r="R41" i="3" a="1"/>
  <c r="R41" i="3" s="1"/>
  <c r="R42" i="3" a="1"/>
  <c r="R42" i="3" s="1"/>
  <c r="R43" i="3" a="1"/>
  <c r="R43" i="3" s="1"/>
  <c r="R44" i="3" a="1"/>
  <c r="R44" i="3" s="1"/>
  <c r="R45" i="3" a="1"/>
  <c r="R45" i="3" s="1"/>
  <c r="R46" i="3" a="1"/>
  <c r="R46" i="3" s="1"/>
  <c r="R47" i="3" a="1"/>
  <c r="R47" i="3" s="1"/>
  <c r="R48" i="3" a="1"/>
  <c r="R48" i="3" s="1"/>
  <c r="R49" i="3" a="1"/>
  <c r="R49" i="3" s="1"/>
  <c r="R50" i="3" a="1"/>
  <c r="R50" i="3" s="1"/>
  <c r="R51" i="3" a="1"/>
  <c r="R51" i="3" s="1"/>
  <c r="R52" i="3" a="1"/>
  <c r="R52" i="3" s="1"/>
  <c r="R53" i="3" a="1"/>
  <c r="R53" i="3" s="1"/>
  <c r="R54" i="3" a="1"/>
  <c r="R54" i="3" s="1"/>
  <c r="R55" i="3" a="1"/>
  <c r="R55" i="3" s="1"/>
  <c r="R56" i="3" a="1"/>
  <c r="R56" i="3" s="1"/>
  <c r="R57" i="3" a="1"/>
  <c r="R57" i="3" s="1"/>
  <c r="R58" i="3" a="1"/>
  <c r="R58" i="3" s="1"/>
  <c r="R59" i="3" a="1"/>
  <c r="R59" i="3" s="1"/>
  <c r="R60" i="3" a="1"/>
  <c r="R60" i="3" s="1"/>
  <c r="R61" i="3" a="1"/>
  <c r="R61" i="3" s="1"/>
  <c r="R62" i="3" a="1"/>
  <c r="R62" i="3" s="1"/>
  <c r="R63" i="3" a="1"/>
  <c r="R63" i="3" s="1"/>
  <c r="R64" i="3" a="1"/>
  <c r="R64" i="3" s="1"/>
  <c r="R65" i="3" a="1"/>
  <c r="R65" i="3" s="1"/>
  <c r="R66" i="3" a="1"/>
  <c r="R66" i="3" s="1"/>
  <c r="R67" i="3" a="1"/>
  <c r="R67" i="3" s="1"/>
  <c r="R68" i="3" a="1"/>
  <c r="R68" i="3" s="1"/>
  <c r="R69" i="3" a="1"/>
  <c r="R69" i="3" s="1"/>
  <c r="R70" i="3" a="1"/>
  <c r="R70" i="3" s="1"/>
  <c r="R71" i="3" a="1"/>
  <c r="R71" i="3" s="1"/>
  <c r="R72" i="3" a="1"/>
  <c r="R72" i="3" s="1"/>
  <c r="R73" i="3" a="1"/>
  <c r="R73" i="3" s="1"/>
  <c r="R74" i="3" a="1"/>
  <c r="R74" i="3" s="1"/>
  <c r="R75" i="3" a="1"/>
  <c r="R75" i="3" s="1"/>
  <c r="R76" i="3" a="1"/>
  <c r="R76" i="3" s="1"/>
  <c r="R77" i="3" a="1"/>
  <c r="R77" i="3" s="1"/>
  <c r="R78" i="3" a="1"/>
  <c r="R78" i="3" s="1"/>
  <c r="R79" i="3" a="1"/>
  <c r="R79" i="3" s="1"/>
  <c r="R80" i="3" a="1"/>
  <c r="R80" i="3" s="1"/>
  <c r="R81" i="3" a="1"/>
  <c r="R81" i="3" s="1"/>
  <c r="R82" i="3" a="1"/>
  <c r="R82" i="3" s="1"/>
  <c r="R83" i="3" a="1"/>
  <c r="R83" i="3" s="1"/>
  <c r="R84" i="3" a="1"/>
  <c r="R84" i="3" s="1"/>
  <c r="R85" i="3" a="1"/>
  <c r="R85" i="3" s="1"/>
  <c r="R86" i="3" a="1"/>
  <c r="R86" i="3" s="1"/>
  <c r="R87" i="3" a="1"/>
  <c r="R87" i="3" s="1"/>
  <c r="R88" i="3" a="1"/>
  <c r="R88" i="3" s="1"/>
  <c r="R89" i="3" a="1"/>
  <c r="R89" i="3" s="1"/>
  <c r="R90" i="3" a="1"/>
  <c r="R90" i="3" s="1"/>
  <c r="R91" i="3" a="1"/>
  <c r="R91" i="3" s="1"/>
  <c r="R92" i="3" a="1"/>
  <c r="R92" i="3" s="1"/>
  <c r="R93" i="3" a="1"/>
  <c r="R93" i="3" s="1"/>
  <c r="R94" i="3" a="1"/>
  <c r="R94" i="3" s="1"/>
  <c r="R95" i="3" a="1"/>
  <c r="R95" i="3" s="1"/>
  <c r="R96" i="3" a="1"/>
  <c r="R96" i="3" s="1"/>
  <c r="R97" i="3" a="1"/>
  <c r="R97" i="3" s="1"/>
  <c r="R98" i="3" a="1"/>
  <c r="R98" i="3" s="1"/>
  <c r="R99" i="3" a="1"/>
  <c r="R99" i="3" s="1"/>
  <c r="R100" i="3" a="1"/>
  <c r="R100" i="3" s="1"/>
  <c r="R101" i="3" a="1"/>
  <c r="R101" i="3" s="1"/>
  <c r="R102" i="3" a="1"/>
  <c r="R102" i="3" s="1"/>
  <c r="R103" i="3" a="1"/>
  <c r="R103" i="3" s="1"/>
  <c r="R104" i="3" a="1"/>
  <c r="R104" i="3" s="1"/>
  <c r="R105" i="3" a="1"/>
  <c r="R105" i="3" s="1"/>
  <c r="R106" i="3" a="1"/>
  <c r="R106" i="3" s="1"/>
  <c r="R107" i="3" a="1"/>
  <c r="R107" i="3" s="1"/>
  <c r="R108" i="3" a="1"/>
  <c r="R108" i="3" s="1"/>
  <c r="R109" i="3" a="1"/>
  <c r="R109" i="3" s="1"/>
  <c r="R110" i="3" a="1"/>
  <c r="R110" i="3" s="1"/>
  <c r="R111" i="3" a="1"/>
  <c r="R111" i="3" s="1"/>
  <c r="R112" i="3" a="1"/>
  <c r="R112" i="3" s="1"/>
  <c r="R113" i="3" a="1"/>
  <c r="R113" i="3" s="1"/>
  <c r="R114" i="3" a="1"/>
  <c r="R114" i="3" s="1"/>
  <c r="R115" i="3" a="1"/>
  <c r="R115" i="3" s="1"/>
  <c r="R116" i="3" a="1"/>
  <c r="R116" i="3" s="1"/>
  <c r="R117" i="3" a="1"/>
  <c r="R117" i="3" s="1"/>
  <c r="R118" i="3" a="1"/>
  <c r="R118" i="3" s="1"/>
  <c r="R119" i="3" a="1"/>
  <c r="R119" i="3" s="1"/>
  <c r="R120" i="3" a="1"/>
  <c r="R120" i="3" s="1"/>
  <c r="R121" i="3" a="1"/>
  <c r="R121" i="3" s="1"/>
  <c r="R122" i="3" a="1"/>
  <c r="R122" i="3" s="1"/>
  <c r="R123" i="3" a="1"/>
  <c r="R123" i="3" s="1"/>
  <c r="R124" i="3" a="1"/>
  <c r="R124" i="3" s="1"/>
  <c r="R125" i="3" a="1"/>
  <c r="R125" i="3" s="1"/>
  <c r="R126" i="3" a="1"/>
  <c r="R126" i="3" s="1"/>
  <c r="R127" i="3" a="1"/>
  <c r="R127" i="3" s="1"/>
  <c r="R128" i="3" a="1"/>
  <c r="R128" i="3" s="1"/>
  <c r="R129" i="3" a="1"/>
  <c r="R129" i="3" s="1"/>
  <c r="R130" i="3" a="1"/>
  <c r="R130" i="3" s="1"/>
  <c r="R131" i="3" a="1"/>
  <c r="R131" i="3" s="1"/>
  <c r="R132" i="3" a="1"/>
  <c r="R132" i="3" s="1"/>
  <c r="R133" i="3" a="1"/>
  <c r="R133" i="3" s="1"/>
  <c r="R134" i="3" a="1"/>
  <c r="R134" i="3" s="1"/>
  <c r="R135" i="3" a="1"/>
  <c r="R135" i="3" s="1"/>
  <c r="R136" i="3" a="1"/>
  <c r="R136" i="3" s="1"/>
  <c r="R137" i="3" a="1"/>
  <c r="R137" i="3" s="1"/>
  <c r="R138" i="3" a="1"/>
  <c r="R138" i="3" s="1"/>
  <c r="R139" i="3" a="1"/>
  <c r="R139" i="3" s="1"/>
  <c r="R140" i="3" a="1"/>
  <c r="R140" i="3" s="1"/>
  <c r="R141" i="3" a="1"/>
  <c r="R141" i="3" s="1"/>
  <c r="R142" i="3" a="1"/>
  <c r="R142" i="3" s="1"/>
  <c r="R143" i="3" a="1"/>
  <c r="R143" i="3" s="1"/>
  <c r="R144" i="3" a="1"/>
  <c r="R144" i="3" s="1"/>
  <c r="R145" i="3" a="1"/>
  <c r="R145" i="3" s="1"/>
  <c r="R146" i="3" a="1"/>
  <c r="R146" i="3" s="1"/>
  <c r="R147" i="3" a="1"/>
  <c r="R147" i="3" s="1"/>
  <c r="R148" i="3" a="1"/>
  <c r="R148" i="3" s="1"/>
  <c r="R149" i="3" a="1"/>
  <c r="R149" i="3" s="1"/>
  <c r="R150" i="3" a="1"/>
  <c r="R150" i="3" s="1"/>
  <c r="R151" i="3" a="1"/>
  <c r="R151" i="3" s="1"/>
  <c r="R152" i="3" a="1"/>
  <c r="R152" i="3" s="1"/>
  <c r="R153" i="3" a="1"/>
  <c r="R153" i="3" s="1"/>
  <c r="R154" i="3" a="1"/>
  <c r="R154" i="3" s="1"/>
  <c r="R155" i="3" a="1"/>
  <c r="R155" i="3" s="1"/>
  <c r="R156" i="3" a="1"/>
  <c r="R156" i="3" s="1"/>
  <c r="R157" i="3" a="1"/>
  <c r="R157" i="3" s="1"/>
  <c r="R158" i="3" a="1"/>
  <c r="R158" i="3" s="1"/>
  <c r="R159" i="3" a="1"/>
  <c r="R159" i="3" s="1"/>
  <c r="R160" i="3" a="1"/>
  <c r="R160" i="3" s="1"/>
  <c r="R161" i="3" a="1"/>
  <c r="R161" i="3" s="1"/>
  <c r="R162" i="3" a="1"/>
  <c r="R162" i="3" s="1"/>
  <c r="R163" i="3" a="1"/>
  <c r="R163" i="3" s="1"/>
  <c r="R164" i="3" a="1"/>
  <c r="R164" i="3" s="1"/>
  <c r="R165" i="3" a="1"/>
  <c r="R165" i="3" s="1"/>
  <c r="R166" i="3" a="1"/>
  <c r="R166" i="3" s="1"/>
  <c r="R167" i="3" a="1"/>
  <c r="R167" i="3" s="1"/>
  <c r="R168" i="3" a="1"/>
  <c r="R168" i="3" s="1"/>
  <c r="R169" i="3" a="1"/>
  <c r="R169" i="3" s="1"/>
  <c r="R170" i="3" a="1"/>
  <c r="R170" i="3" s="1"/>
  <c r="R171" i="3" a="1"/>
  <c r="R171" i="3" s="1"/>
  <c r="R172" i="3" a="1"/>
  <c r="R172" i="3" s="1"/>
  <c r="R173" i="3" a="1"/>
  <c r="R173" i="3" s="1"/>
  <c r="R174" i="3" a="1"/>
  <c r="R174" i="3" s="1"/>
  <c r="R175" i="3" a="1"/>
  <c r="R175" i="3" s="1"/>
  <c r="R176" i="3" a="1"/>
  <c r="R176" i="3" s="1"/>
  <c r="R177" i="3" a="1"/>
  <c r="R177" i="3" s="1"/>
  <c r="R178" i="3" a="1"/>
  <c r="R178" i="3" s="1"/>
  <c r="R179" i="3" a="1"/>
  <c r="R179" i="3" s="1"/>
  <c r="R180" i="3" a="1"/>
  <c r="R180" i="3" s="1"/>
  <c r="R181" i="3" a="1"/>
  <c r="R181" i="3" s="1"/>
  <c r="R182" i="3" a="1"/>
  <c r="R182" i="3" s="1"/>
  <c r="R183" i="3" a="1"/>
  <c r="R183" i="3" s="1"/>
  <c r="R184" i="3" a="1"/>
  <c r="R184" i="3" s="1"/>
  <c r="R185" i="3" a="1"/>
  <c r="R185" i="3" s="1"/>
  <c r="R186" i="3" a="1"/>
  <c r="R186" i="3" s="1"/>
  <c r="R187" i="3" a="1"/>
  <c r="R187" i="3" s="1"/>
  <c r="R188" i="3" a="1"/>
  <c r="R188" i="3" s="1"/>
  <c r="R189" i="3" a="1"/>
  <c r="R189" i="3" s="1"/>
  <c r="R190" i="3" a="1"/>
  <c r="R190" i="3" s="1"/>
  <c r="R191" i="3" a="1"/>
  <c r="R191" i="3" s="1"/>
  <c r="R192" i="3" a="1"/>
  <c r="R192" i="3" s="1"/>
  <c r="R193" i="3" a="1"/>
  <c r="R193" i="3" s="1"/>
  <c r="R194" i="3" a="1"/>
  <c r="R194" i="3" s="1"/>
  <c r="R195" i="3" a="1"/>
  <c r="R195" i="3" s="1"/>
  <c r="R196" i="3" a="1"/>
  <c r="R196" i="3" s="1"/>
  <c r="R197" i="3" a="1"/>
  <c r="R197" i="3" s="1"/>
  <c r="R198" i="3" a="1"/>
  <c r="R198" i="3" s="1"/>
  <c r="R199" i="3" a="1"/>
  <c r="R199" i="3" s="1"/>
  <c r="R200" i="3" a="1"/>
  <c r="R200" i="3" s="1"/>
  <c r="R201" i="3" a="1"/>
  <c r="R201" i="3" s="1"/>
  <c r="R202" i="3" a="1"/>
  <c r="R202" i="3" s="1"/>
  <c r="R203" i="3" a="1"/>
  <c r="R203" i="3" s="1"/>
  <c r="R204" i="3" a="1"/>
  <c r="R204" i="3" s="1"/>
  <c r="R205" i="3" a="1"/>
  <c r="R205" i="3" s="1"/>
  <c r="R206" i="3" a="1"/>
  <c r="R206" i="3" s="1"/>
  <c r="R207" i="3" a="1"/>
  <c r="R207" i="3" s="1"/>
  <c r="R208" i="3" a="1"/>
  <c r="R208" i="3" s="1"/>
  <c r="R209" i="3" a="1"/>
  <c r="R209" i="3" s="1"/>
  <c r="R210" i="3" a="1"/>
  <c r="R210" i="3" s="1"/>
  <c r="R211" i="3" a="1"/>
  <c r="R211" i="3" s="1"/>
  <c r="R212" i="3" a="1"/>
  <c r="R212" i="3" s="1"/>
  <c r="R213" i="3" a="1"/>
  <c r="R213" i="3" s="1"/>
  <c r="R214" i="3" a="1"/>
  <c r="R214" i="3" s="1"/>
  <c r="R215" i="3" a="1"/>
  <c r="R215" i="3" s="1"/>
  <c r="R216" i="3" a="1"/>
  <c r="R216" i="3" s="1"/>
  <c r="R217" i="3" a="1"/>
  <c r="R217" i="3" s="1"/>
  <c r="R218" i="3" a="1"/>
  <c r="R218" i="3" s="1"/>
  <c r="R219" i="3" a="1"/>
  <c r="R219" i="3" s="1"/>
  <c r="R220" i="3" a="1"/>
  <c r="R220" i="3" s="1"/>
  <c r="R221" i="3" a="1"/>
  <c r="R221" i="3" s="1"/>
  <c r="R222" i="3" a="1"/>
  <c r="R222" i="3" s="1"/>
  <c r="R223" i="3" a="1"/>
  <c r="R223" i="3" s="1"/>
  <c r="R224" i="3" a="1"/>
  <c r="R224" i="3" s="1"/>
  <c r="R225" i="3" a="1"/>
  <c r="R225" i="3" s="1"/>
  <c r="R226" i="3" a="1"/>
  <c r="R226" i="3" s="1"/>
  <c r="R227" i="3" a="1"/>
  <c r="R227" i="3" s="1"/>
  <c r="R228" i="3" a="1"/>
  <c r="R228" i="3" s="1"/>
  <c r="R229" i="3" a="1"/>
  <c r="R229" i="3" s="1"/>
  <c r="R230" i="3" a="1"/>
  <c r="R230" i="3" s="1"/>
  <c r="R231" i="3" a="1"/>
  <c r="R231" i="3" s="1"/>
  <c r="R232" i="3" a="1"/>
  <c r="R232" i="3" s="1"/>
  <c r="R233" i="3" a="1"/>
  <c r="R233" i="3" s="1"/>
  <c r="R234" i="3" a="1"/>
  <c r="R234" i="3" s="1"/>
  <c r="R235" i="3" a="1"/>
  <c r="R235" i="3" s="1"/>
  <c r="R236" i="3" a="1"/>
  <c r="R236" i="3" s="1"/>
  <c r="R237" i="3" a="1"/>
  <c r="R237" i="3" s="1"/>
  <c r="R238" i="3" a="1"/>
  <c r="R238" i="3" s="1"/>
  <c r="R239" i="3" a="1"/>
  <c r="R239" i="3" s="1"/>
  <c r="R240" i="3" a="1"/>
  <c r="R240" i="3" s="1"/>
  <c r="R241" i="3" a="1"/>
  <c r="R241" i="3" s="1"/>
  <c r="R242" i="3" a="1"/>
  <c r="R242" i="3" s="1"/>
  <c r="R243" i="3" a="1"/>
  <c r="R243" i="3" s="1"/>
  <c r="R244" i="3" a="1"/>
  <c r="R244" i="3" s="1"/>
  <c r="R245" i="3" a="1"/>
  <c r="R245" i="3" s="1"/>
  <c r="R246" i="3" a="1"/>
  <c r="R246" i="3" s="1"/>
  <c r="R247" i="3" a="1"/>
  <c r="R247" i="3" s="1"/>
  <c r="R248" i="3" a="1"/>
  <c r="R248" i="3" s="1"/>
  <c r="R249" i="3" a="1"/>
  <c r="R249" i="3" s="1"/>
  <c r="R250" i="3" a="1"/>
  <c r="R250" i="3" s="1"/>
  <c r="R251" i="3" a="1"/>
  <c r="R251" i="3" s="1"/>
  <c r="R252" i="3" a="1"/>
  <c r="R252" i="3" s="1"/>
  <c r="R253" i="3" a="1"/>
  <c r="R253" i="3" s="1"/>
  <c r="R254" i="3" a="1"/>
  <c r="R254" i="3" s="1"/>
  <c r="R255" i="3" a="1"/>
  <c r="R255" i="3" s="1"/>
  <c r="R256" i="3" a="1"/>
  <c r="R256" i="3" s="1"/>
  <c r="R257" i="3" a="1"/>
  <c r="R257" i="3" s="1"/>
  <c r="R258" i="3" a="1"/>
  <c r="R258" i="3" s="1"/>
  <c r="R259" i="3" a="1"/>
  <c r="R259" i="3" s="1"/>
  <c r="R260" i="3" a="1"/>
  <c r="R260" i="3" s="1"/>
  <c r="R261" i="3" a="1"/>
  <c r="R261" i="3" s="1"/>
  <c r="R262" i="3" a="1"/>
  <c r="R262" i="3" s="1"/>
  <c r="R263" i="3" a="1"/>
  <c r="R263" i="3" s="1"/>
  <c r="R264" i="3" a="1"/>
  <c r="R264" i="3" s="1"/>
  <c r="R265" i="3" a="1"/>
  <c r="R265" i="3" s="1"/>
  <c r="R266" i="3" a="1"/>
  <c r="R266" i="3" s="1"/>
  <c r="R267" i="3" a="1"/>
  <c r="R267" i="3" s="1"/>
  <c r="R268" i="3" a="1"/>
  <c r="R268" i="3" s="1"/>
  <c r="R269" i="3" a="1"/>
  <c r="R269" i="3" s="1"/>
  <c r="R270" i="3" a="1"/>
  <c r="R270" i="3" s="1"/>
  <c r="R271" i="3" a="1"/>
  <c r="R271" i="3" s="1"/>
  <c r="R272" i="3" a="1"/>
  <c r="R272" i="3" s="1"/>
  <c r="R273" i="3" a="1"/>
  <c r="R273" i="3" s="1"/>
  <c r="R274" i="3" a="1"/>
  <c r="R274" i="3" s="1"/>
  <c r="R275" i="3" a="1"/>
  <c r="R275" i="3" s="1"/>
  <c r="R276" i="3" a="1"/>
  <c r="R276" i="3" s="1"/>
  <c r="R277" i="3" a="1"/>
  <c r="R277" i="3" s="1"/>
  <c r="R278" i="3" a="1"/>
  <c r="R278" i="3" s="1"/>
  <c r="R279" i="3" a="1"/>
  <c r="R279" i="3" s="1"/>
  <c r="R280" i="3" a="1"/>
  <c r="R280" i="3" s="1"/>
  <c r="R281" i="3" a="1"/>
  <c r="R281" i="3" s="1"/>
  <c r="R282" i="3" a="1"/>
  <c r="R282" i="3" s="1"/>
  <c r="R283" i="3" a="1"/>
  <c r="R283" i="3" s="1"/>
  <c r="R284" i="3" a="1"/>
  <c r="R284" i="3" s="1"/>
  <c r="R285" i="3" a="1"/>
  <c r="R285" i="3" s="1"/>
  <c r="R286" i="3" a="1"/>
  <c r="R286" i="3" s="1"/>
  <c r="R287" i="3" a="1"/>
  <c r="R287" i="3" s="1"/>
  <c r="R288" i="3" a="1"/>
  <c r="R288" i="3" s="1"/>
  <c r="R289" i="3" a="1"/>
  <c r="R289" i="3" s="1"/>
  <c r="R290" i="3" a="1"/>
  <c r="R290" i="3" s="1"/>
  <c r="R291" i="3" a="1"/>
  <c r="R291" i="3" s="1"/>
  <c r="R292" i="3" a="1"/>
  <c r="R292" i="3" s="1"/>
  <c r="R293" i="3" a="1"/>
  <c r="R293" i="3" s="1"/>
  <c r="R294" i="3" a="1"/>
  <c r="R294" i="3" s="1"/>
  <c r="R295" i="3" a="1"/>
  <c r="R295" i="3" s="1"/>
  <c r="R296" i="3" a="1"/>
  <c r="R296" i="3" s="1"/>
  <c r="R297" i="3" a="1"/>
  <c r="R297" i="3" s="1"/>
  <c r="R298" i="3" a="1"/>
  <c r="R298" i="3" s="1"/>
  <c r="R299" i="3" a="1"/>
  <c r="R299" i="3" s="1"/>
  <c r="R300" i="3" a="1"/>
  <c r="R300" i="3" s="1"/>
  <c r="R301" i="3" a="1"/>
  <c r="R301" i="3" s="1"/>
  <c r="R302" i="3" a="1"/>
  <c r="R302" i="3" s="1"/>
  <c r="R303" i="3" a="1"/>
  <c r="R303" i="3" s="1"/>
  <c r="R304" i="3" a="1"/>
  <c r="R304" i="3" s="1"/>
  <c r="R305" i="3" a="1"/>
  <c r="R305" i="3" s="1"/>
  <c r="R306" i="3" a="1"/>
  <c r="R306" i="3" s="1"/>
  <c r="R307" i="3" a="1"/>
  <c r="R307" i="3" s="1"/>
  <c r="R308" i="3" a="1"/>
  <c r="R308" i="3" s="1"/>
  <c r="R309" i="3" a="1"/>
  <c r="R309" i="3" s="1"/>
  <c r="R310" i="3" a="1"/>
  <c r="R310" i="3" s="1"/>
  <c r="R311" i="3" a="1"/>
  <c r="R311" i="3" s="1"/>
  <c r="R312" i="3" a="1"/>
  <c r="R312" i="3" s="1"/>
  <c r="R313" i="3" a="1"/>
  <c r="R313" i="3" s="1"/>
  <c r="R314" i="3" a="1"/>
  <c r="R314" i="3" s="1"/>
  <c r="R315" i="3" a="1"/>
  <c r="R315" i="3" s="1"/>
  <c r="R316" i="3" a="1"/>
  <c r="R316" i="3" s="1"/>
  <c r="R317" i="3" a="1"/>
  <c r="R317" i="3" s="1"/>
  <c r="R318" i="3" a="1"/>
  <c r="R318" i="3" s="1"/>
  <c r="R319" i="3" a="1"/>
  <c r="R319" i="3" s="1"/>
  <c r="R320" i="3" a="1"/>
  <c r="R320" i="3" s="1"/>
  <c r="R321" i="3" a="1"/>
  <c r="R321" i="3" s="1"/>
  <c r="R322" i="3" a="1"/>
  <c r="R322" i="3" s="1"/>
  <c r="R323" i="3" a="1"/>
  <c r="R323" i="3" s="1"/>
  <c r="R324" i="3" a="1"/>
  <c r="R324" i="3" s="1"/>
  <c r="R325" i="3" a="1"/>
  <c r="R325" i="3" s="1"/>
  <c r="R326" i="3" a="1"/>
  <c r="R326" i="3" s="1"/>
  <c r="R327" i="3" a="1"/>
  <c r="R327" i="3" s="1"/>
  <c r="R328" i="3" a="1"/>
  <c r="R328" i="3" s="1"/>
  <c r="R329" i="3" a="1"/>
  <c r="R329" i="3" s="1"/>
  <c r="R330" i="3" a="1"/>
  <c r="R330" i="3" s="1"/>
  <c r="R331" i="3" a="1"/>
  <c r="R331" i="3" s="1"/>
  <c r="R332" i="3" a="1"/>
  <c r="R332" i="3" s="1"/>
  <c r="R333" i="3" a="1"/>
  <c r="R333" i="3" s="1"/>
  <c r="R334" i="3" a="1"/>
  <c r="R334" i="3" s="1"/>
  <c r="R335" i="3" a="1"/>
  <c r="R335" i="3" s="1"/>
  <c r="R336" i="3" a="1"/>
  <c r="R336" i="3" s="1"/>
  <c r="R337" i="3" a="1"/>
  <c r="R337" i="3" s="1"/>
  <c r="R338" i="3" a="1"/>
  <c r="R338" i="3" s="1"/>
  <c r="R339" i="3" a="1"/>
  <c r="R339" i="3" s="1"/>
  <c r="R340" i="3" a="1"/>
  <c r="R340" i="3" s="1"/>
  <c r="R341" i="3" a="1"/>
  <c r="R341" i="3" s="1"/>
  <c r="R342" i="3" a="1"/>
  <c r="R342" i="3" s="1"/>
  <c r="R343" i="3" a="1"/>
  <c r="R343" i="3" s="1"/>
  <c r="R344" i="3" a="1"/>
  <c r="R344" i="3" s="1"/>
  <c r="R345" i="3" a="1"/>
  <c r="R345" i="3" s="1"/>
  <c r="R346" i="3" a="1"/>
  <c r="R346" i="3" s="1"/>
  <c r="R347" i="3" a="1"/>
  <c r="R347" i="3" s="1"/>
  <c r="R348" i="3" a="1"/>
  <c r="R348" i="3" s="1"/>
  <c r="R349" i="3" a="1"/>
  <c r="R349" i="3" s="1"/>
  <c r="R350" i="3" a="1"/>
  <c r="R350" i="3" s="1"/>
  <c r="R351" i="3" a="1"/>
  <c r="R351" i="3" s="1"/>
  <c r="R352" i="3" a="1"/>
  <c r="R352" i="3" s="1"/>
  <c r="R353" i="3" a="1"/>
  <c r="R353" i="3" s="1"/>
  <c r="R354" i="3" a="1"/>
  <c r="R354" i="3" s="1"/>
  <c r="R355" i="3" a="1"/>
  <c r="R355" i="3" s="1"/>
  <c r="R356" i="3" a="1"/>
  <c r="R356" i="3" s="1"/>
  <c r="R357" i="3" a="1"/>
  <c r="R357" i="3" s="1"/>
  <c r="R358" i="3" a="1"/>
  <c r="R358" i="3" s="1"/>
  <c r="R359" i="3" a="1"/>
  <c r="R359" i="3" s="1"/>
  <c r="R360" i="3" a="1"/>
  <c r="R360" i="3" s="1"/>
  <c r="R361" i="3" a="1"/>
  <c r="R361" i="3" s="1"/>
  <c r="R362" i="3" a="1"/>
  <c r="R362" i="3" s="1"/>
  <c r="R363" i="3" a="1"/>
  <c r="R363" i="3" s="1"/>
  <c r="R364" i="3" a="1"/>
  <c r="R364" i="3" s="1"/>
  <c r="R365" i="3" a="1"/>
  <c r="R365" i="3" s="1"/>
  <c r="R366" i="3" a="1"/>
  <c r="R366" i="3" s="1"/>
  <c r="R367" i="3" a="1"/>
  <c r="R367" i="3" s="1"/>
  <c r="R368" i="3" a="1"/>
  <c r="R368" i="3" s="1"/>
  <c r="R369" i="3" a="1"/>
  <c r="R369" i="3" s="1"/>
  <c r="R370" i="3" a="1"/>
  <c r="R370" i="3" s="1"/>
  <c r="R371" i="3" a="1"/>
  <c r="R371" i="3" s="1"/>
  <c r="R372" i="3" a="1"/>
  <c r="R372" i="3" s="1"/>
  <c r="R373" i="3" a="1"/>
  <c r="R373" i="3" s="1"/>
  <c r="R374" i="3" a="1"/>
  <c r="R374" i="3" s="1"/>
  <c r="R375" i="3" a="1"/>
  <c r="R375" i="3" s="1"/>
  <c r="R376" i="3" a="1"/>
  <c r="R376" i="3" s="1"/>
  <c r="R377" i="3" a="1"/>
  <c r="R377" i="3" s="1"/>
  <c r="R378" i="3" a="1"/>
  <c r="R378" i="3" s="1"/>
  <c r="R379" i="3" a="1"/>
  <c r="R379" i="3" s="1"/>
  <c r="R380" i="3" a="1"/>
  <c r="R380" i="3" s="1"/>
  <c r="R381" i="3" a="1"/>
  <c r="R381" i="3" s="1"/>
  <c r="R382" i="3" a="1"/>
  <c r="R382" i="3" s="1"/>
  <c r="R383" i="3" a="1"/>
  <c r="R383" i="3" s="1"/>
  <c r="R384" i="3" a="1"/>
  <c r="R384" i="3" s="1"/>
  <c r="R385" i="3" a="1"/>
  <c r="R385" i="3" s="1"/>
  <c r="R386" i="3" a="1"/>
  <c r="R386" i="3" s="1"/>
  <c r="R387" i="3" a="1"/>
  <c r="R387" i="3" s="1"/>
  <c r="R388" i="3" a="1"/>
  <c r="R388" i="3" s="1"/>
  <c r="R389" i="3" a="1"/>
  <c r="R389" i="3" s="1"/>
  <c r="R390" i="3" a="1"/>
  <c r="R390" i="3" s="1"/>
  <c r="R391" i="3" a="1"/>
  <c r="R391" i="3" s="1"/>
  <c r="R392" i="3" a="1"/>
  <c r="R392" i="3" s="1"/>
  <c r="R393" i="3" a="1"/>
  <c r="R393" i="3" s="1"/>
  <c r="R394" i="3" a="1"/>
  <c r="R394" i="3" s="1"/>
  <c r="R395" i="3" a="1"/>
  <c r="R395" i="3" s="1"/>
  <c r="R396" i="3" a="1"/>
  <c r="R396" i="3" s="1"/>
  <c r="R397" i="3" a="1"/>
  <c r="R397" i="3" s="1"/>
  <c r="R398" i="3" a="1"/>
  <c r="R398" i="3" s="1"/>
  <c r="R399" i="3" a="1"/>
  <c r="R399" i="3" s="1"/>
  <c r="R400" i="3" a="1"/>
  <c r="R400" i="3" s="1"/>
  <c r="R401" i="3" a="1"/>
  <c r="R401" i="3" s="1"/>
  <c r="R402" i="3" a="1"/>
  <c r="R402" i="3" s="1"/>
  <c r="R403" i="3" a="1"/>
  <c r="R403" i="3" s="1"/>
  <c r="R404" i="3" a="1"/>
  <c r="R404" i="3" s="1"/>
  <c r="R405" i="3" a="1"/>
  <c r="R405" i="3" s="1"/>
  <c r="R406" i="3" a="1"/>
  <c r="R406" i="3" s="1"/>
  <c r="R407" i="3" a="1"/>
  <c r="R407" i="3" s="1"/>
  <c r="R408" i="3" a="1"/>
  <c r="R408" i="3" s="1"/>
  <c r="R409" i="3" a="1"/>
  <c r="R409" i="3" s="1"/>
  <c r="R410" i="3" a="1"/>
  <c r="R410" i="3" s="1"/>
  <c r="R411" i="3" a="1"/>
  <c r="R411" i="3" s="1"/>
  <c r="R412" i="3" a="1"/>
  <c r="R412" i="3" s="1"/>
  <c r="R413" i="3" a="1"/>
  <c r="R413" i="3" s="1"/>
  <c r="R414" i="3" a="1"/>
  <c r="R414" i="3" s="1"/>
  <c r="R415" i="3" a="1"/>
  <c r="R415" i="3" s="1"/>
  <c r="R416" i="3" a="1"/>
  <c r="R416" i="3" s="1"/>
  <c r="R417" i="3" a="1"/>
  <c r="R417" i="3" s="1"/>
  <c r="R418" i="3" a="1"/>
  <c r="R418" i="3" s="1"/>
  <c r="R419" i="3" a="1"/>
  <c r="R419" i="3" s="1"/>
  <c r="R420" i="3" a="1"/>
  <c r="R420" i="3" s="1"/>
  <c r="R421" i="3" a="1"/>
  <c r="R421" i="3" s="1"/>
  <c r="R422" i="3" a="1"/>
  <c r="R422" i="3" s="1"/>
  <c r="R423" i="3" a="1"/>
  <c r="R423" i="3" s="1"/>
  <c r="R424" i="3" a="1"/>
  <c r="R424" i="3" s="1"/>
  <c r="R425" i="3" a="1"/>
  <c r="R425" i="3" s="1"/>
  <c r="R426" i="3" a="1"/>
  <c r="R426" i="3" s="1"/>
  <c r="R427" i="3" a="1"/>
  <c r="R427" i="3" s="1"/>
  <c r="R428" i="3" a="1"/>
  <c r="R428" i="3" s="1"/>
  <c r="R429" i="3" a="1"/>
  <c r="R429" i="3" s="1"/>
  <c r="R430" i="3" a="1"/>
  <c r="R430" i="3" s="1"/>
  <c r="R431" i="3" a="1"/>
  <c r="R431" i="3" s="1"/>
  <c r="R432" i="3" a="1"/>
  <c r="R432" i="3" s="1"/>
  <c r="R433" i="3" a="1"/>
  <c r="R433" i="3" s="1"/>
  <c r="R434" i="3" a="1"/>
  <c r="R434" i="3" s="1"/>
  <c r="R435" i="3" a="1"/>
  <c r="R435" i="3" s="1"/>
  <c r="R436" i="3" a="1"/>
  <c r="R436" i="3" s="1"/>
  <c r="R437" i="3" a="1"/>
  <c r="R437" i="3" s="1"/>
  <c r="R438" i="3" a="1"/>
  <c r="R438" i="3" s="1"/>
  <c r="R439" i="3" a="1"/>
  <c r="R439" i="3" s="1"/>
  <c r="R440" i="3" a="1"/>
  <c r="R440" i="3" s="1"/>
  <c r="R441" i="3" a="1"/>
  <c r="R441" i="3" s="1"/>
  <c r="R442" i="3" a="1"/>
  <c r="R442" i="3" s="1"/>
  <c r="R443" i="3" a="1"/>
  <c r="R443" i="3" s="1"/>
  <c r="R444" i="3" a="1"/>
  <c r="R444" i="3" s="1"/>
  <c r="R445" i="3" a="1"/>
  <c r="R445" i="3" s="1"/>
  <c r="R446" i="3" a="1"/>
  <c r="R446" i="3" s="1"/>
  <c r="R447" i="3" a="1"/>
  <c r="R447" i="3" s="1"/>
  <c r="R448" i="3" a="1"/>
  <c r="R448" i="3" s="1"/>
  <c r="R449" i="3" a="1"/>
  <c r="R449" i="3" s="1"/>
  <c r="S359" i="1" a="1"/>
  <c r="S359" i="1" s="1"/>
  <c r="S4" i="1" a="1"/>
  <c r="S4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 s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 s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 s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 s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 s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 s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 s="1"/>
  <c r="S184" i="1" a="1"/>
  <c r="S184" i="1" s="1"/>
  <c r="S185" i="1" a="1"/>
  <c r="S185" i="1" s="1"/>
  <c r="S186" i="1" a="1"/>
  <c r="S186" i="1" s="1"/>
  <c r="S187" i="1" a="1"/>
  <c r="S187" i="1" s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 s="1"/>
  <c r="S195" i="1" a="1"/>
  <c r="S195" i="1" s="1"/>
  <c r="S196" i="1" a="1"/>
  <c r="S196" i="1" s="1"/>
  <c r="S197" i="1" a="1"/>
  <c r="S197" i="1" s="1"/>
  <c r="S198" i="1" a="1"/>
  <c r="S198" i="1" s="1"/>
  <c r="S199" i="1" a="1"/>
  <c r="S199" i="1" s="1"/>
  <c r="S200" i="1" a="1"/>
  <c r="S200" i="1" s="1"/>
  <c r="S201" i="1" a="1"/>
  <c r="S201" i="1" s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 s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 s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 s="1"/>
  <c r="S232" i="1" a="1"/>
  <c r="S232" i="1" s="1"/>
  <c r="S233" i="1" a="1"/>
  <c r="S233" i="1" s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 s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 s="1"/>
  <c r="S255" i="1" a="1"/>
  <c r="S255" i="1" s="1"/>
  <c r="S256" i="1" a="1"/>
  <c r="S256" i="1" s="1"/>
  <c r="S257" i="1" a="1"/>
  <c r="S257" i="1" s="1"/>
  <c r="S258" i="1" a="1"/>
  <c r="S258" i="1" s="1"/>
  <c r="S259" i="1" a="1"/>
  <c r="S259" i="1" s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 s="1"/>
  <c r="S267" i="1" a="1"/>
  <c r="S267" i="1" s="1"/>
  <c r="S268" i="1" a="1"/>
  <c r="S268" i="1" s="1"/>
  <c r="S269" i="1" a="1"/>
  <c r="S269" i="1" s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 s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 s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 s="1"/>
  <c r="S327" i="1" a="1"/>
  <c r="S327" i="1" s="1"/>
  <c r="S328" i="1" a="1"/>
  <c r="S328" i="1" s="1"/>
  <c r="S329" i="1" a="1"/>
  <c r="S329" i="1" s="1"/>
  <c r="S330" i="1" a="1"/>
  <c r="S330" i="1" s="1"/>
  <c r="S331" i="1" a="1"/>
  <c r="S331" i="1" s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 s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 s="1"/>
  <c r="S356" i="1" a="1"/>
  <c r="S356" i="1" s="1"/>
  <c r="S357" i="1" a="1"/>
  <c r="S357" i="1" s="1"/>
  <c r="S358" i="1" a="1"/>
  <c r="S358" i="1" s="1"/>
  <c r="N420" i="3"/>
  <c r="O420" i="3" s="1"/>
  <c r="N449" i="3"/>
  <c r="O449" i="3" s="1"/>
  <c r="C439" i="4"/>
  <c r="O439" i="4" s="1"/>
  <c r="C438" i="4"/>
  <c r="O438" i="4" s="1"/>
  <c r="C437" i="4"/>
  <c r="O437" i="4" s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N448" i="3"/>
  <c r="O448" i="3" s="1"/>
  <c r="N447" i="3"/>
  <c r="O447" i="3" s="1"/>
  <c r="C436" i="4"/>
  <c r="O436" i="4" s="1"/>
  <c r="O83" i="5"/>
  <c r="C435" i="4"/>
  <c r="O435" i="4" s="1"/>
  <c r="N446" i="3"/>
  <c r="O446" i="3" s="1"/>
  <c r="N445" i="3"/>
  <c r="O445" i="3" s="1"/>
  <c r="C434" i="4"/>
  <c r="O434" i="4" s="1"/>
  <c r="N444" i="3"/>
  <c r="O444" i="3" s="1"/>
  <c r="N443" i="3"/>
  <c r="O443" i="3" s="1"/>
  <c r="N442" i="3"/>
  <c r="O442" i="3" s="1"/>
  <c r="N441" i="3"/>
  <c r="O441" i="3" s="1"/>
  <c r="N440" i="3"/>
  <c r="O440" i="3" s="1"/>
  <c r="N439" i="3"/>
  <c r="O439" i="3" s="1"/>
  <c r="N438" i="3"/>
  <c r="O438" i="3" s="1"/>
  <c r="N437" i="3"/>
  <c r="O437" i="3" s="1"/>
  <c r="N436" i="3"/>
  <c r="O436" i="3" s="1"/>
  <c r="N435" i="3"/>
  <c r="O435" i="3" s="1"/>
  <c r="N434" i="3"/>
  <c r="O434" i="3" s="1"/>
  <c r="N433" i="3"/>
  <c r="O433" i="3" s="1"/>
  <c r="N432" i="3"/>
  <c r="O432" i="3" s="1"/>
  <c r="N431" i="3"/>
  <c r="O431" i="3" s="1"/>
  <c r="N430" i="3"/>
  <c r="O430" i="3" s="1"/>
  <c r="N429" i="3"/>
  <c r="O429" i="3" s="1"/>
  <c r="N428" i="3"/>
  <c r="O428" i="3" s="1"/>
  <c r="N427" i="3"/>
  <c r="O427" i="3" s="1"/>
  <c r="N426" i="3"/>
  <c r="O426" i="3" s="1"/>
  <c r="N425" i="3"/>
  <c r="O425" i="3" s="1"/>
  <c r="N424" i="3"/>
  <c r="O424" i="3" s="1"/>
  <c r="N423" i="3"/>
  <c r="O423" i="3" s="1"/>
  <c r="N422" i="3"/>
  <c r="O422" i="3" s="1"/>
  <c r="O421" i="3"/>
  <c r="N419" i="3"/>
  <c r="O419" i="3" s="1"/>
  <c r="N418" i="3"/>
  <c r="O418" i="3" s="1"/>
  <c r="N417" i="3"/>
  <c r="O417" i="3" s="1"/>
  <c r="N416" i="3"/>
  <c r="O416" i="3" s="1"/>
  <c r="N415" i="3"/>
  <c r="O415" i="3" s="1"/>
  <c r="N414" i="3"/>
  <c r="O414" i="3" s="1"/>
  <c r="N413" i="3"/>
  <c r="O413" i="3" s="1"/>
  <c r="N412" i="3"/>
  <c r="O412" i="3" s="1"/>
  <c r="N411" i="3"/>
  <c r="O411" i="3" s="1"/>
  <c r="N410" i="3"/>
  <c r="O410" i="3" s="1"/>
  <c r="N408" i="3"/>
  <c r="O408" i="3" s="1"/>
  <c r="O409" i="3"/>
  <c r="C433" i="4"/>
  <c r="O433" i="4" s="1"/>
  <c r="O407" i="3"/>
  <c r="N406" i="3"/>
  <c r="O406" i="3" s="1"/>
  <c r="O432" i="4"/>
  <c r="N405" i="3"/>
  <c r="O405" i="3" s="1"/>
  <c r="N404" i="3"/>
  <c r="O404" i="3" s="1"/>
  <c r="N403" i="3"/>
  <c r="O403" i="3" s="1"/>
  <c r="N402" i="3"/>
  <c r="O402" i="3" s="1"/>
  <c r="N401" i="3"/>
  <c r="O401" i="3" s="1"/>
  <c r="C431" i="4"/>
  <c r="O431" i="4" s="1"/>
  <c r="N400" i="3"/>
  <c r="O400" i="3" s="1"/>
  <c r="N399" i="3"/>
  <c r="O399" i="3" s="1"/>
  <c r="C430" i="4"/>
  <c r="O430" i="4" s="1"/>
  <c r="O82" i="5"/>
  <c r="O81" i="5"/>
  <c r="O80" i="5"/>
  <c r="N398" i="3"/>
  <c r="O398" i="3" s="1"/>
  <c r="N397" i="3"/>
  <c r="O397" i="3" s="1"/>
  <c r="N396" i="3"/>
  <c r="O396" i="3" s="1"/>
  <c r="O429" i="4"/>
  <c r="C428" i="4"/>
  <c r="O428" i="4" s="1"/>
  <c r="C427" i="4"/>
  <c r="O427" i="4" s="1"/>
  <c r="C426" i="4"/>
  <c r="O426" i="4" s="1"/>
  <c r="C425" i="4"/>
  <c r="O425" i="4" s="1"/>
  <c r="C424" i="4"/>
  <c r="O424" i="4" s="1"/>
  <c r="C423" i="4"/>
  <c r="O423" i="4" s="1"/>
  <c r="O422" i="4"/>
  <c r="P326" i="1"/>
  <c r="C421" i="4"/>
  <c r="O421" i="4" s="1"/>
  <c r="N395" i="3"/>
  <c r="O395" i="3" s="1"/>
  <c r="N394" i="3"/>
  <c r="O394" i="3" s="1"/>
  <c r="C420" i="4"/>
  <c r="O420" i="4" s="1"/>
  <c r="O79" i="5"/>
  <c r="O78" i="5"/>
  <c r="O77" i="5"/>
  <c r="O76" i="5"/>
  <c r="O75" i="5"/>
  <c r="O74" i="5"/>
  <c r="P325" i="1"/>
  <c r="O393" i="3"/>
  <c r="O392" i="3"/>
  <c r="O391" i="3"/>
  <c r="P324" i="1"/>
  <c r="P323" i="1"/>
  <c r="P322" i="1"/>
  <c r="O390" i="3"/>
  <c r="O389" i="3"/>
  <c r="O388" i="3"/>
  <c r="O387" i="3"/>
  <c r="O386" i="3"/>
  <c r="O385" i="3"/>
  <c r="C419" i="4"/>
  <c r="O419" i="4" s="1"/>
  <c r="C418" i="4"/>
  <c r="O418" i="4" s="1"/>
  <c r="O384" i="3"/>
  <c r="O383" i="3"/>
  <c r="O382" i="3"/>
  <c r="C417" i="4"/>
  <c r="O417" i="4" s="1"/>
  <c r="C416" i="4"/>
  <c r="O416" i="4" s="1"/>
  <c r="C415" i="4"/>
  <c r="O415" i="4" s="1"/>
  <c r="C414" i="4"/>
  <c r="O414" i="4" s="1"/>
  <c r="C413" i="4"/>
  <c r="O413" i="4" s="1"/>
  <c r="P321" i="1"/>
  <c r="P320" i="1"/>
  <c r="P319" i="1"/>
  <c r="P318" i="1"/>
  <c r="P317" i="1"/>
  <c r="P316" i="1"/>
  <c r="P315" i="1"/>
  <c r="C412" i="4"/>
  <c r="O412" i="4" s="1"/>
  <c r="C411" i="4"/>
  <c r="O411" i="4" s="1"/>
  <c r="C410" i="4"/>
  <c r="O410" i="4" s="1"/>
  <c r="P314" i="1"/>
  <c r="O381" i="3"/>
  <c r="O380" i="3"/>
  <c r="O379" i="3"/>
  <c r="O378" i="3"/>
  <c r="O377" i="3"/>
  <c r="O376" i="3"/>
  <c r="P313" i="1"/>
  <c r="P312" i="1"/>
  <c r="P311" i="1"/>
  <c r="P310" i="1"/>
  <c r="P309" i="1"/>
  <c r="O375" i="3"/>
  <c r="C409" i="4"/>
  <c r="O409" i="4" s="1"/>
  <c r="C408" i="4"/>
  <c r="O408" i="4" s="1"/>
  <c r="P308" i="1"/>
  <c r="P298" i="1"/>
  <c r="P307" i="1"/>
  <c r="O368" i="3"/>
  <c r="P306" i="1"/>
  <c r="O374" i="3"/>
  <c r="P305" i="1" l="1"/>
  <c r="O373" i="3"/>
  <c r="O372" i="3"/>
  <c r="O371" i="3"/>
  <c r="O370" i="3"/>
  <c r="C407" i="4"/>
  <c r="O407" i="4" s="1"/>
  <c r="C406" i="4"/>
  <c r="O406" i="4" s="1"/>
  <c r="O369" i="3"/>
  <c r="P304" i="1"/>
  <c r="P303" i="1"/>
  <c r="P302" i="1"/>
  <c r="P301" i="1"/>
  <c r="P300" i="1"/>
  <c r="P299" i="1"/>
  <c r="O367" i="3"/>
  <c r="C405" i="4"/>
  <c r="O405" i="4" s="1"/>
  <c r="C404" i="4"/>
  <c r="O404" i="4" s="1"/>
  <c r="O297" i="1"/>
  <c r="P297" i="1" s="1"/>
  <c r="P296" i="1"/>
  <c r="O275" i="1"/>
  <c r="P275" i="1" s="1"/>
  <c r="C403" i="4"/>
  <c r="O403" i="4" s="1"/>
  <c r="C402" i="4"/>
  <c r="O402" i="4" s="1"/>
  <c r="C401" i="4"/>
  <c r="O401" i="4" s="1"/>
  <c r="C400" i="4"/>
  <c r="O400" i="4" s="1"/>
  <c r="O144" i="1"/>
  <c r="N73" i="5"/>
  <c r="O73" i="5" s="1"/>
  <c r="N72" i="5"/>
  <c r="O72" i="5" s="1"/>
  <c r="O366" i="3"/>
  <c r="O365" i="3"/>
  <c r="O364" i="3"/>
  <c r="O363" i="3"/>
  <c r="O362" i="3"/>
  <c r="O361" i="3"/>
  <c r="O360" i="3"/>
  <c r="O359" i="3"/>
  <c r="O358" i="3"/>
  <c r="O71" i="5"/>
  <c r="O70" i="5"/>
  <c r="N348" i="3"/>
  <c r="O348" i="3" s="1"/>
  <c r="O69" i="5"/>
  <c r="O357" i="3"/>
  <c r="O356" i="3"/>
  <c r="N66" i="5"/>
  <c r="O66" i="5" s="1"/>
  <c r="O68" i="5"/>
  <c r="O67" i="5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O355" i="3"/>
  <c r="C399" i="4"/>
  <c r="O399" i="4" s="1"/>
  <c r="P282" i="1"/>
  <c r="O398" i="4"/>
  <c r="O354" i="3"/>
  <c r="O353" i="3"/>
  <c r="O352" i="3"/>
  <c r="O351" i="3"/>
  <c r="C376" i="4"/>
  <c r="O376" i="4" s="1"/>
  <c r="N247" i="4"/>
  <c r="N246" i="4"/>
  <c r="N245" i="4"/>
  <c r="N226" i="4"/>
  <c r="N244" i="4"/>
  <c r="N225" i="4"/>
  <c r="N224" i="4"/>
  <c r="N223" i="4"/>
  <c r="P281" i="1"/>
  <c r="P280" i="1"/>
  <c r="P279" i="1"/>
  <c r="P278" i="1"/>
  <c r="O350" i="3"/>
  <c r="P277" i="1"/>
  <c r="O349" i="3"/>
  <c r="P276" i="1"/>
  <c r="P274" i="1"/>
  <c r="O347" i="3"/>
  <c r="C397" i="4"/>
  <c r="O397" i="4" s="1"/>
  <c r="C396" i="4"/>
  <c r="O396" i="4" s="1"/>
  <c r="C395" i="4"/>
  <c r="O395" i="4" s="1"/>
  <c r="O346" i="3"/>
  <c r="P273" i="1"/>
  <c r="P272" i="1"/>
  <c r="P271" i="1"/>
  <c r="P270" i="1"/>
  <c r="P269" i="1"/>
  <c r="P268" i="1"/>
  <c r="C394" i="4"/>
  <c r="O394" i="4" s="1"/>
  <c r="P267" i="1"/>
  <c r="O65" i="5"/>
  <c r="O64" i="5"/>
  <c r="O63" i="5"/>
  <c r="O345" i="3"/>
  <c r="O344" i="3"/>
  <c r="P266" i="1"/>
  <c r="P265" i="1"/>
  <c r="P264" i="1"/>
  <c r="O343" i="3"/>
  <c r="O342" i="3"/>
  <c r="C393" i="4"/>
  <c r="O393" i="4" s="1"/>
  <c r="C392" i="4"/>
  <c r="O392" i="4" s="1"/>
  <c r="C391" i="4"/>
  <c r="O391" i="4" s="1"/>
  <c r="C390" i="4"/>
  <c r="O390" i="4" s="1"/>
  <c r="C389" i="4"/>
  <c r="O389" i="4" s="1"/>
  <c r="C388" i="4"/>
  <c r="O388" i="4" s="1"/>
  <c r="C387" i="4"/>
  <c r="O387" i="4" s="1"/>
  <c r="C386" i="4"/>
  <c r="O386" i="4" s="1"/>
  <c r="C385" i="4"/>
  <c r="O385" i="4" s="1"/>
  <c r="C384" i="4"/>
  <c r="O384" i="4" s="1"/>
  <c r="C383" i="4"/>
  <c r="O383" i="4" s="1"/>
  <c r="C382" i="4"/>
  <c r="O382" i="4" s="1"/>
  <c r="C381" i="4"/>
  <c r="O381" i="4" s="1"/>
  <c r="C380" i="4"/>
  <c r="O380" i="4" s="1"/>
  <c r="C379" i="4"/>
  <c r="O379" i="4" s="1"/>
  <c r="C378" i="4"/>
  <c r="O378" i="4" s="1"/>
  <c r="C377" i="4"/>
  <c r="O377" i="4" s="1"/>
  <c r="C375" i="4"/>
  <c r="O375" i="4" s="1"/>
  <c r="O374" i="4"/>
  <c r="C373" i="4"/>
  <c r="O373" i="4" s="1"/>
  <c r="O341" i="3"/>
  <c r="O340" i="3"/>
  <c r="O62" i="5"/>
  <c r="O339" i="3"/>
  <c r="O338" i="3"/>
  <c r="O337" i="3"/>
  <c r="O336" i="3"/>
  <c r="P263" i="1"/>
  <c r="P262" i="1"/>
  <c r="P261" i="1"/>
  <c r="O61" i="5"/>
  <c r="O335" i="3"/>
  <c r="P260" i="1"/>
  <c r="P259" i="1"/>
  <c r="P258" i="1"/>
  <c r="P257" i="1"/>
  <c r="P256" i="1"/>
  <c r="P255" i="1"/>
  <c r="P254" i="1"/>
  <c r="P253" i="1"/>
  <c r="P252" i="1"/>
  <c r="P251" i="1"/>
  <c r="P250" i="1"/>
  <c r="O60" i="5"/>
  <c r="O334" i="3"/>
  <c r="P249" i="1"/>
  <c r="O333" i="3"/>
  <c r="O332" i="3"/>
  <c r="O331" i="3"/>
  <c r="C372" i="4"/>
  <c r="O372" i="4" s="1"/>
  <c r="C371" i="4"/>
  <c r="O371" i="4" s="1"/>
  <c r="C370" i="4"/>
  <c r="O370" i="4" s="1"/>
  <c r="P248" i="1"/>
  <c r="P247" i="1" l="1"/>
  <c r="P246" i="1"/>
  <c r="P245" i="1"/>
  <c r="P244" i="1"/>
  <c r="P243" i="1"/>
  <c r="P242" i="1"/>
  <c r="P241" i="1"/>
  <c r="O330" i="3"/>
  <c r="O329" i="3"/>
  <c r="O59" i="5"/>
  <c r="P238" i="1"/>
  <c r="P239" i="1"/>
  <c r="P240" i="1"/>
  <c r="O327" i="3"/>
  <c r="O326" i="3"/>
  <c r="O325" i="3"/>
  <c r="P237" i="1"/>
  <c r="O324" i="3"/>
  <c r="O323" i="3"/>
  <c r="C369" i="4"/>
  <c r="O369" i="4" s="1"/>
  <c r="C368" i="4"/>
  <c r="O368" i="4" s="1"/>
  <c r="P225" i="1"/>
  <c r="O322" i="3"/>
  <c r="C367" i="4"/>
  <c r="O367" i="4" s="1"/>
  <c r="P236" i="1"/>
  <c r="P235" i="1"/>
  <c r="O321" i="3"/>
  <c r="C366" i="4"/>
  <c r="O366" i="4" s="1"/>
  <c r="C365" i="4"/>
  <c r="O365" i="4" s="1"/>
  <c r="C364" i="4"/>
  <c r="O364" i="4" s="1"/>
  <c r="C363" i="4"/>
  <c r="O363" i="4" s="1"/>
  <c r="C362" i="4"/>
  <c r="O362" i="4" s="1"/>
  <c r="C361" i="4"/>
  <c r="O361" i="4" s="1"/>
  <c r="P234" i="1"/>
  <c r="P233" i="1"/>
  <c r="P232" i="1"/>
  <c r="P231" i="1"/>
  <c r="P230" i="1"/>
  <c r="P229" i="1"/>
  <c r="P228" i="1"/>
  <c r="P227" i="1"/>
  <c r="C360" i="4"/>
  <c r="O360" i="4" s="1"/>
  <c r="C359" i="4"/>
  <c r="O359" i="4" s="1"/>
  <c r="P226" i="1"/>
  <c r="O320" i="3"/>
  <c r="P224" i="1"/>
  <c r="O319" i="3"/>
  <c r="P223" i="1"/>
  <c r="P222" i="1"/>
  <c r="P221" i="1"/>
  <c r="P220" i="1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8" i="3"/>
  <c r="M287" i="3"/>
  <c r="M286" i="3"/>
  <c r="M285" i="3"/>
  <c r="M284" i="3"/>
  <c r="M283" i="3"/>
  <c r="M281" i="3"/>
  <c r="O318" i="3" l="1"/>
  <c r="P219" i="1"/>
  <c r="C358" i="4"/>
  <c r="O358" i="4" s="1"/>
  <c r="C357" i="4"/>
  <c r="O357" i="4" s="1"/>
  <c r="C356" i="4"/>
  <c r="O356" i="4" s="1"/>
  <c r="C355" i="4"/>
  <c r="O355" i="4" s="1"/>
  <c r="C354" i="4"/>
  <c r="O354" i="4" s="1"/>
  <c r="C353" i="4"/>
  <c r="O353" i="4" s="1"/>
  <c r="C352" i="4"/>
  <c r="O352" i="4" s="1"/>
  <c r="C351" i="4"/>
  <c r="O351" i="4" s="1"/>
  <c r="C350" i="4"/>
  <c r="O350" i="4" s="1"/>
  <c r="C349" i="4"/>
  <c r="O349" i="4" s="1"/>
  <c r="C348" i="4"/>
  <c r="O348" i="4" s="1"/>
  <c r="C347" i="4"/>
  <c r="O347" i="4" s="1"/>
  <c r="C346" i="4"/>
  <c r="O346" i="4" s="1"/>
  <c r="C345" i="4"/>
  <c r="O345" i="4" s="1"/>
  <c r="C344" i="4"/>
  <c r="O344" i="4" s="1"/>
  <c r="C343" i="4"/>
  <c r="O343" i="4" s="1"/>
  <c r="C342" i="4"/>
  <c r="O342" i="4" s="1"/>
  <c r="C341" i="4"/>
  <c r="O341" i="4" s="1"/>
  <c r="C340" i="4"/>
  <c r="O340" i="4" s="1"/>
  <c r="C339" i="4"/>
  <c r="O339" i="4" s="1"/>
  <c r="C338" i="4"/>
  <c r="O338" i="4" s="1"/>
  <c r="C337" i="4"/>
  <c r="O337" i="4" s="1"/>
  <c r="C336" i="4"/>
  <c r="O336" i="4" s="1"/>
  <c r="C335" i="4"/>
  <c r="O335" i="4" s="1"/>
  <c r="C334" i="4"/>
  <c r="O334" i="4" s="1"/>
  <c r="C333" i="4"/>
  <c r="O333" i="4" s="1"/>
  <c r="C332" i="4"/>
  <c r="O332" i="4" s="1"/>
  <c r="C331" i="4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N289" i="3"/>
  <c r="O289" i="3" s="1"/>
  <c r="O288" i="3"/>
  <c r="O287" i="3"/>
  <c r="O286" i="3"/>
  <c r="O285" i="3"/>
  <c r="O284" i="3"/>
  <c r="O283" i="3"/>
  <c r="N282" i="3"/>
  <c r="O282" i="3" s="1"/>
  <c r="O281" i="3"/>
  <c r="C330" i="4"/>
  <c r="C329" i="4"/>
  <c r="O329" i="4" s="1"/>
  <c r="C328" i="4"/>
  <c r="O328" i="4" s="1"/>
  <c r="C327" i="4"/>
  <c r="O327" i="4" s="1"/>
  <c r="C326" i="4"/>
  <c r="O326" i="4" s="1"/>
  <c r="C325" i="4"/>
  <c r="O325" i="4" s="1"/>
  <c r="O324" i="4"/>
  <c r="C323" i="4"/>
  <c r="O323" i="4" s="1"/>
  <c r="O322" i="4"/>
  <c r="C321" i="4"/>
  <c r="O321" i="4" s="1"/>
  <c r="C320" i="4"/>
  <c r="O320" i="4" s="1"/>
  <c r="C319" i="4"/>
  <c r="O319" i="4" s="1"/>
  <c r="C318" i="4"/>
  <c r="O318" i="4" s="1"/>
  <c r="C317" i="4"/>
  <c r="O317" i="4" s="1"/>
  <c r="C316" i="4"/>
  <c r="O316" i="4" s="1"/>
  <c r="C315" i="4"/>
  <c r="O315" i="4" s="1"/>
  <c r="C314" i="4"/>
  <c r="O314" i="4" s="1"/>
  <c r="C313" i="4"/>
  <c r="O313" i="4" s="1"/>
  <c r="C312" i="4"/>
  <c r="O312" i="4" s="1"/>
  <c r="C311" i="4"/>
  <c r="O311" i="4" s="1"/>
  <c r="C310" i="4"/>
  <c r="C309" i="4"/>
  <c r="O309" i="4" s="1"/>
  <c r="C308" i="4"/>
  <c r="O308" i="4" s="1"/>
  <c r="C307" i="4"/>
  <c r="M307" i="4" s="1"/>
  <c r="C306" i="4"/>
  <c r="O306" i="4" s="1"/>
  <c r="P218" i="1"/>
  <c r="C305" i="4"/>
  <c r="O305" i="4" s="1"/>
  <c r="C304" i="4"/>
  <c r="O304" i="4" s="1"/>
  <c r="C303" i="4"/>
  <c r="O303" i="4" s="1"/>
  <c r="C302" i="4"/>
  <c r="O302" i="4" s="1"/>
  <c r="C301" i="4"/>
  <c r="O301" i="4" s="1"/>
  <c r="C300" i="4"/>
  <c r="O300" i="4" s="1"/>
  <c r="C299" i="4"/>
  <c r="O299" i="4" s="1"/>
  <c r="O298" i="4"/>
  <c r="N280" i="3"/>
  <c r="O280" i="3" s="1"/>
  <c r="N279" i="3"/>
  <c r="O279" i="3" s="1"/>
  <c r="N278" i="3"/>
  <c r="O278" i="3" s="1"/>
  <c r="N277" i="3"/>
  <c r="O277" i="3" s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C297" i="4"/>
  <c r="O297" i="4" s="1"/>
  <c r="P194" i="1"/>
  <c r="P193" i="1"/>
  <c r="P192" i="1"/>
  <c r="N276" i="3"/>
  <c r="O276" i="3" s="1"/>
  <c r="O58" i="5"/>
  <c r="N275" i="3"/>
  <c r="O275" i="3" s="1"/>
  <c r="O191" i="1"/>
  <c r="P191" i="1" s="1"/>
  <c r="P4" i="1"/>
  <c r="P5" i="1"/>
  <c r="P6" i="1"/>
  <c r="P7" i="1"/>
  <c r="P8" i="1"/>
  <c r="P9" i="1"/>
  <c r="P10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8" i="1"/>
  <c r="P70" i="1"/>
  <c r="P71" i="1"/>
  <c r="P72" i="1"/>
  <c r="P73" i="1"/>
  <c r="P74" i="1"/>
  <c r="P77" i="1"/>
  <c r="P78" i="1"/>
  <c r="P79" i="1"/>
  <c r="P80" i="1"/>
  <c r="P81" i="1"/>
  <c r="P82" i="1"/>
  <c r="P83" i="1"/>
  <c r="P84" i="1"/>
  <c r="P85" i="1"/>
  <c r="P86" i="1"/>
  <c r="P87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2" i="1"/>
  <c r="P113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N274" i="3"/>
  <c r="O274" i="3" s="1"/>
  <c r="N273" i="3"/>
  <c r="O273" i="3" s="1"/>
  <c r="N272" i="3"/>
  <c r="O272" i="3" s="1"/>
  <c r="N271" i="3"/>
  <c r="O271" i="3" s="1"/>
  <c r="N270" i="3"/>
  <c r="O270" i="3" s="1"/>
  <c r="N269" i="3"/>
  <c r="O269" i="3" s="1"/>
  <c r="N268" i="3"/>
  <c r="O268" i="3" s="1"/>
  <c r="O57" i="5"/>
  <c r="O267" i="3"/>
  <c r="O266" i="3"/>
  <c r="O265" i="3"/>
  <c r="O56" i="5"/>
  <c r="O55" i="5"/>
  <c r="C296" i="4"/>
  <c r="O296" i="4" s="1"/>
  <c r="O264" i="3"/>
  <c r="O54" i="5"/>
  <c r="O53" i="5"/>
  <c r="C295" i="4"/>
  <c r="O295" i="4" s="1"/>
  <c r="C294" i="4"/>
  <c r="O294" i="4" s="1"/>
  <c r="C293" i="4"/>
  <c r="O293" i="4" s="1"/>
  <c r="C292" i="4"/>
  <c r="O292" i="4" s="1"/>
  <c r="C291" i="4"/>
  <c r="O291" i="4" s="1"/>
  <c r="O263" i="3"/>
  <c r="O262" i="3"/>
  <c r="C290" i="4"/>
  <c r="O290" i="4" s="1"/>
  <c r="C289" i="4"/>
  <c r="O289" i="4" s="1"/>
  <c r="C288" i="4"/>
  <c r="O288" i="4" s="1"/>
  <c r="O307" i="4" l="1"/>
  <c r="O310" i="4"/>
  <c r="M310" i="4"/>
  <c r="O330" i="4"/>
  <c r="M330" i="4"/>
  <c r="O331" i="4"/>
  <c r="M331" i="4"/>
  <c r="O261" i="3"/>
  <c r="O260" i="3"/>
  <c r="O52" i="5"/>
  <c r="O259" i="3"/>
  <c r="O258" i="3"/>
  <c r="O257" i="3"/>
  <c r="O256" i="3"/>
  <c r="O255" i="3"/>
  <c r="O254" i="3"/>
  <c r="O253" i="3"/>
  <c r="C287" i="4"/>
  <c r="C286" i="4"/>
  <c r="C285" i="4"/>
  <c r="O284" i="4"/>
  <c r="C283" i="4"/>
  <c r="O283" i="4" s="1"/>
  <c r="C282" i="4"/>
  <c r="O282" i="4" s="1"/>
  <c r="C281" i="4"/>
  <c r="O281" i="4" s="1"/>
  <c r="O286" i="4" l="1"/>
  <c r="M286" i="4"/>
  <c r="O287" i="4"/>
  <c r="M287" i="4"/>
  <c r="O285" i="4"/>
  <c r="M285" i="4"/>
  <c r="O252" i="3"/>
  <c r="O251" i="3"/>
  <c r="O250" i="3"/>
  <c r="O249" i="3"/>
  <c r="C280" i="4"/>
  <c r="C279" i="4"/>
  <c r="C278" i="4"/>
  <c r="C277" i="4"/>
  <c r="O248" i="3"/>
  <c r="O247" i="3"/>
  <c r="O246" i="3"/>
  <c r="O245" i="3"/>
  <c r="O244" i="3"/>
  <c r="O243" i="3"/>
  <c r="O51" i="5"/>
  <c r="O50" i="5"/>
  <c r="O242" i="3"/>
  <c r="O241" i="3"/>
  <c r="O240" i="3"/>
  <c r="O239" i="3"/>
  <c r="O49" i="5"/>
  <c r="O238" i="3"/>
  <c r="O48" i="5"/>
  <c r="O237" i="3"/>
  <c r="C276" i="4"/>
  <c r="O276" i="4" s="1"/>
  <c r="C275" i="4"/>
  <c r="O275" i="4" s="1"/>
  <c r="C274" i="4"/>
  <c r="O11" i="1"/>
  <c r="P11" i="1" s="1"/>
  <c r="O47" i="5"/>
  <c r="O46" i="5"/>
  <c r="O25" i="1"/>
  <c r="P25" i="1" s="1"/>
  <c r="O236" i="3"/>
  <c r="O45" i="5"/>
  <c r="O44" i="5"/>
  <c r="C273" i="4"/>
  <c r="O273" i="4" s="1"/>
  <c r="O272" i="4"/>
  <c r="O43" i="5"/>
  <c r="C271" i="4"/>
  <c r="O235" i="3"/>
  <c r="O234" i="3"/>
  <c r="O233" i="3"/>
  <c r="O232" i="3"/>
  <c r="O231" i="3"/>
  <c r="N235" i="4"/>
  <c r="O235" i="4" s="1"/>
  <c r="O111" i="1"/>
  <c r="P111" i="1" s="1"/>
  <c r="O270" i="4"/>
  <c r="N187" i="4"/>
  <c r="N14" i="4"/>
  <c r="N230" i="3"/>
  <c r="O230" i="3" s="1"/>
  <c r="N229" i="3"/>
  <c r="O229" i="3" s="1"/>
  <c r="N228" i="3"/>
  <c r="O228" i="3" s="1"/>
  <c r="N227" i="3"/>
  <c r="O227" i="3" s="1"/>
  <c r="N226" i="3"/>
  <c r="O226" i="3" s="1"/>
  <c r="N225" i="3"/>
  <c r="O225" i="3" s="1"/>
  <c r="N224" i="3"/>
  <c r="O224" i="3" s="1"/>
  <c r="N223" i="3"/>
  <c r="O223" i="3" s="1"/>
  <c r="N214" i="3"/>
  <c r="O214" i="3" s="1"/>
  <c r="N212" i="3"/>
  <c r="O212" i="3" s="1"/>
  <c r="N211" i="3"/>
  <c r="O211" i="3" s="1"/>
  <c r="N208" i="3"/>
  <c r="O208" i="3" s="1"/>
  <c r="N207" i="3"/>
  <c r="O207" i="3" s="1"/>
  <c r="N206" i="3"/>
  <c r="O206" i="3" s="1"/>
  <c r="N205" i="3"/>
  <c r="O205" i="3" s="1"/>
  <c r="N204" i="3"/>
  <c r="O204" i="3" s="1"/>
  <c r="N203" i="3"/>
  <c r="O203" i="3" s="1"/>
  <c r="N202" i="3"/>
  <c r="O202" i="3" s="1"/>
  <c r="N201" i="3"/>
  <c r="O201" i="3" s="1"/>
  <c r="N200" i="3"/>
  <c r="O200" i="3" s="1"/>
  <c r="N199" i="3"/>
  <c r="O199" i="3" s="1"/>
  <c r="N18" i="3"/>
  <c r="O18" i="3" s="1"/>
  <c r="N17" i="3"/>
  <c r="O17" i="3" s="1"/>
  <c r="N16" i="3"/>
  <c r="O16" i="3" s="1"/>
  <c r="O222" i="3"/>
  <c r="O221" i="3"/>
  <c r="O220" i="3"/>
  <c r="O153" i="1"/>
  <c r="P153" i="1" s="1"/>
  <c r="O88" i="1"/>
  <c r="P88" i="1" s="1"/>
  <c r="O62" i="3"/>
  <c r="C269" i="4"/>
  <c r="O269" i="4" s="1"/>
  <c r="N219" i="3"/>
  <c r="O219" i="3" s="1"/>
  <c r="C268" i="4"/>
  <c r="C267" i="4"/>
  <c r="C266" i="4"/>
  <c r="O218" i="3"/>
  <c r="C265" i="4"/>
  <c r="O265" i="4" s="1"/>
  <c r="C264" i="4"/>
  <c r="O264" i="4" s="1"/>
  <c r="C263" i="4"/>
  <c r="O263" i="4" s="1"/>
  <c r="C89" i="4"/>
  <c r="O89" i="4" s="1"/>
  <c r="C87" i="4"/>
  <c r="O87" i="4" s="1"/>
  <c r="C86" i="4"/>
  <c r="O86" i="4" s="1"/>
  <c r="C82" i="4"/>
  <c r="O82" i="4" s="1"/>
  <c r="C80" i="4"/>
  <c r="O80" i="4" s="1"/>
  <c r="C79" i="4"/>
  <c r="O79" i="4" s="1"/>
  <c r="N99" i="3"/>
  <c r="O99" i="3" s="1"/>
  <c r="N85" i="3"/>
  <c r="O85" i="3" s="1"/>
  <c r="N84" i="3"/>
  <c r="O84" i="3" s="1"/>
  <c r="N63" i="3"/>
  <c r="O63" i="3" s="1"/>
  <c r="N61" i="3"/>
  <c r="O61" i="3" s="1"/>
  <c r="C262" i="4"/>
  <c r="O262" i="4" s="1"/>
  <c r="C261" i="4"/>
  <c r="O261" i="4" s="1"/>
  <c r="C260" i="4"/>
  <c r="O260" i="4" s="1"/>
  <c r="C259" i="4"/>
  <c r="O259" i="4" s="1"/>
  <c r="C258" i="4"/>
  <c r="O258" i="4" s="1"/>
  <c r="C257" i="4"/>
  <c r="O257" i="4" s="1"/>
  <c r="C256" i="4"/>
  <c r="O256" i="4" s="1"/>
  <c r="C255" i="4"/>
  <c r="O255" i="4" s="1"/>
  <c r="C254" i="4"/>
  <c r="O254" i="4" s="1"/>
  <c r="C253" i="4"/>
  <c r="O253" i="4" s="1"/>
  <c r="C252" i="4"/>
  <c r="O252" i="4" s="1"/>
  <c r="C251" i="4"/>
  <c r="O251" i="4" s="1"/>
  <c r="C250" i="4"/>
  <c r="O250" i="4" s="1"/>
  <c r="C249" i="4"/>
  <c r="O249" i="4" s="1"/>
  <c r="C248" i="4"/>
  <c r="O248" i="4" s="1"/>
  <c r="C247" i="4"/>
  <c r="O247" i="4" s="1"/>
  <c r="O246" i="4"/>
  <c r="C245" i="4"/>
  <c r="O245" i="4" s="1"/>
  <c r="O244" i="4"/>
  <c r="O243" i="4"/>
  <c r="C242" i="4"/>
  <c r="O242" i="4" s="1"/>
  <c r="C241" i="4"/>
  <c r="O241" i="4" s="1"/>
  <c r="C240" i="4"/>
  <c r="O240" i="4" s="1"/>
  <c r="C239" i="4"/>
  <c r="O239" i="4" s="1"/>
  <c r="O238" i="4"/>
  <c r="C237" i="4"/>
  <c r="O237" i="4" s="1"/>
  <c r="C236" i="4"/>
  <c r="O236" i="4" s="1"/>
  <c r="O60" i="3"/>
  <c r="O78" i="4"/>
  <c r="C77" i="4"/>
  <c r="O77" i="4" s="1"/>
  <c r="C76" i="4"/>
  <c r="O76" i="4" s="1"/>
  <c r="C75" i="4"/>
  <c r="O75" i="4" s="1"/>
  <c r="O57" i="3"/>
  <c r="O46" i="3"/>
  <c r="O45" i="3"/>
  <c r="O35" i="3"/>
  <c r="O27" i="3"/>
  <c r="O217" i="3"/>
  <c r="C234" i="4"/>
  <c r="O234" i="4" s="1"/>
  <c r="O216" i="3"/>
  <c r="C233" i="4"/>
  <c r="O233" i="4" s="1"/>
  <c r="C232" i="4"/>
  <c r="O232" i="4" s="1"/>
  <c r="C231" i="4"/>
  <c r="O231" i="4" s="1"/>
  <c r="C230" i="4"/>
  <c r="O230" i="4" s="1"/>
  <c r="C229" i="4"/>
  <c r="O229" i="4" s="1"/>
  <c r="C228" i="4"/>
  <c r="O228" i="4" s="1"/>
  <c r="C227" i="4"/>
  <c r="O227" i="4" s="1"/>
  <c r="O26" i="3"/>
  <c r="O42" i="5"/>
  <c r="O25" i="3"/>
  <c r="O21" i="3"/>
  <c r="O226" i="4"/>
  <c r="O225" i="4"/>
  <c r="C224" i="4"/>
  <c r="O224" i="4" s="1"/>
  <c r="O223" i="4"/>
  <c r="O15" i="3"/>
  <c r="C222" i="4"/>
  <c r="O222" i="4" s="1"/>
  <c r="O13" i="3"/>
  <c r="O9" i="3"/>
  <c r="O8" i="3"/>
  <c r="O215" i="3"/>
  <c r="O192" i="3"/>
  <c r="O138" i="1"/>
  <c r="P138" i="1" s="1"/>
  <c r="O7" i="3"/>
  <c r="O4" i="3"/>
  <c r="O41" i="5"/>
  <c r="O40" i="5"/>
  <c r="O2" i="3"/>
  <c r="C211" i="4"/>
  <c r="O211" i="4" s="1"/>
  <c r="C191" i="3"/>
  <c r="O191" i="3" s="1"/>
  <c r="C189" i="3"/>
  <c r="O189" i="3" s="1"/>
  <c r="C187" i="3"/>
  <c r="O187" i="3" s="1"/>
  <c r="C186" i="3"/>
  <c r="O186" i="3" s="1"/>
  <c r="C185" i="3"/>
  <c r="O185" i="3" s="1"/>
  <c r="C184" i="3"/>
  <c r="O184" i="3" s="1"/>
  <c r="C183" i="3"/>
  <c r="O183" i="3" s="1"/>
  <c r="C176" i="3"/>
  <c r="O176" i="3" s="1"/>
  <c r="O213" i="3"/>
  <c r="C210" i="4"/>
  <c r="O210" i="4" s="1"/>
  <c r="C209" i="4"/>
  <c r="O209" i="4" s="1"/>
  <c r="C221" i="4"/>
  <c r="O221" i="4" s="1"/>
  <c r="C207" i="4"/>
  <c r="O207" i="4" s="1"/>
  <c r="N67" i="4"/>
  <c r="O67" i="4" s="1"/>
  <c r="O210" i="3"/>
  <c r="O209" i="3"/>
  <c r="C74" i="4"/>
  <c r="O74" i="4" s="1"/>
  <c r="C220" i="4"/>
  <c r="O220" i="4" s="1"/>
  <c r="C219" i="4"/>
  <c r="O219" i="4" s="1"/>
  <c r="O172" i="3"/>
  <c r="O171" i="3"/>
  <c r="O170" i="3"/>
  <c r="O169" i="3"/>
  <c r="O168" i="3"/>
  <c r="O167" i="3"/>
  <c r="C203" i="4"/>
  <c r="O203" i="4" s="1"/>
  <c r="C202" i="4"/>
  <c r="O202" i="4" s="1"/>
  <c r="C201" i="4"/>
  <c r="O201" i="4" s="1"/>
  <c r="O198" i="3"/>
  <c r="O197" i="3"/>
  <c r="O196" i="3"/>
  <c r="O195" i="3"/>
  <c r="O194" i="3"/>
  <c r="O193" i="3"/>
  <c r="N115" i="4"/>
  <c r="O115" i="4" s="1"/>
  <c r="N21" i="4"/>
  <c r="O21" i="4" s="1"/>
  <c r="N22" i="4"/>
  <c r="O22" i="4" s="1"/>
  <c r="N23" i="4"/>
  <c r="O23" i="4" s="1"/>
  <c r="N24" i="4"/>
  <c r="O24" i="4" s="1"/>
  <c r="C218" i="4"/>
  <c r="O218" i="4" s="1"/>
  <c r="O160" i="3"/>
  <c r="O39" i="5"/>
  <c r="C73" i="4"/>
  <c r="O73" i="4" s="1"/>
  <c r="C72" i="4"/>
  <c r="O72" i="4" s="1"/>
  <c r="O159" i="3"/>
  <c r="O158" i="3"/>
  <c r="O157" i="3"/>
  <c r="O156" i="3"/>
  <c r="O190" i="3"/>
  <c r="O188" i="3"/>
  <c r="O146" i="3"/>
  <c r="O145" i="3"/>
  <c r="O182" i="3"/>
  <c r="O38" i="5"/>
  <c r="C71" i="4"/>
  <c r="O71" i="4" s="1"/>
  <c r="C70" i="4"/>
  <c r="O70" i="4" s="1"/>
  <c r="C69" i="4"/>
  <c r="O69" i="4" s="1"/>
  <c r="C68" i="4"/>
  <c r="O68" i="4" s="1"/>
  <c r="O192" i="4"/>
  <c r="C55" i="4"/>
  <c r="O55" i="4" s="1"/>
  <c r="C53" i="4"/>
  <c r="O53" i="4" s="1"/>
  <c r="C217" i="4"/>
  <c r="O217" i="4" s="1"/>
  <c r="C52" i="4"/>
  <c r="O52" i="4" s="1"/>
  <c r="C51" i="4"/>
  <c r="O51" i="4" s="1"/>
  <c r="C50" i="4"/>
  <c r="O50" i="4" s="1"/>
  <c r="C49" i="4"/>
  <c r="O49" i="4" s="1"/>
  <c r="C48" i="4"/>
  <c r="O48" i="4" s="1"/>
  <c r="C20" i="4"/>
  <c r="O20" i="4" s="1"/>
  <c r="C19" i="4"/>
  <c r="O19" i="4" s="1"/>
  <c r="C18" i="4"/>
  <c r="O18" i="4" s="1"/>
  <c r="C17" i="4"/>
  <c r="O17" i="4" s="1"/>
  <c r="C216" i="4"/>
  <c r="O216" i="4" s="1"/>
  <c r="C215" i="4"/>
  <c r="O215" i="4" s="1"/>
  <c r="C214" i="4"/>
  <c r="O214" i="4" s="1"/>
  <c r="C213" i="4"/>
  <c r="O213" i="4" s="1"/>
  <c r="C16" i="4"/>
  <c r="O16" i="4" s="1"/>
  <c r="C212" i="4"/>
  <c r="O212" i="4" s="1"/>
  <c r="C208" i="4"/>
  <c r="O208" i="4" s="1"/>
  <c r="C15" i="4"/>
  <c r="O15" i="4" s="1"/>
  <c r="C14" i="4"/>
  <c r="O143" i="3"/>
  <c r="O181" i="3"/>
  <c r="O180" i="3"/>
  <c r="O179" i="3"/>
  <c r="O178" i="3"/>
  <c r="O177" i="3"/>
  <c r="O37" i="5"/>
  <c r="O136" i="3"/>
  <c r="O36" i="5"/>
  <c r="O35" i="5"/>
  <c r="O175" i="3"/>
  <c r="O174" i="3"/>
  <c r="O173" i="3"/>
  <c r="O132" i="3"/>
  <c r="O131" i="3"/>
  <c r="O130" i="3"/>
  <c r="O166" i="3"/>
  <c r="C206" i="4"/>
  <c r="O206" i="4" s="1"/>
  <c r="C205" i="4"/>
  <c r="O205" i="4" s="1"/>
  <c r="O204" i="4"/>
  <c r="O200" i="4"/>
  <c r="C199" i="4"/>
  <c r="O199" i="4" s="1"/>
  <c r="C198" i="4"/>
  <c r="O198" i="4" s="1"/>
  <c r="C197" i="4"/>
  <c r="O197" i="4" s="1"/>
  <c r="O196" i="4"/>
  <c r="C195" i="4"/>
  <c r="O195" i="4" s="1"/>
  <c r="C161" i="4"/>
  <c r="O161" i="4" s="1"/>
  <c r="O128" i="3"/>
  <c r="O127" i="3"/>
  <c r="O165" i="3"/>
  <c r="O125" i="3"/>
  <c r="C103" i="3"/>
  <c r="O103" i="3" s="1"/>
  <c r="C104" i="3"/>
  <c r="O104" i="3" s="1"/>
  <c r="C105" i="3"/>
  <c r="O105" i="3" s="1"/>
  <c r="C106" i="3"/>
  <c r="O106" i="3" s="1"/>
  <c r="C107" i="3"/>
  <c r="O107" i="3" s="1"/>
  <c r="C108" i="3"/>
  <c r="O108" i="3" s="1"/>
  <c r="C109" i="3"/>
  <c r="O109" i="3" s="1"/>
  <c r="C110" i="3"/>
  <c r="O110" i="3" s="1"/>
  <c r="C111" i="3"/>
  <c r="O111" i="3" s="1"/>
  <c r="C112" i="3"/>
  <c r="O112" i="3" s="1"/>
  <c r="C113" i="3"/>
  <c r="O113" i="3" s="1"/>
  <c r="C114" i="3"/>
  <c r="O114" i="3" s="1"/>
  <c r="C115" i="3"/>
  <c r="O115" i="3" s="1"/>
  <c r="C116" i="3"/>
  <c r="O116" i="3" s="1"/>
  <c r="C117" i="3"/>
  <c r="O117" i="3" s="1"/>
  <c r="C118" i="3"/>
  <c r="O118" i="3" s="1"/>
  <c r="C119" i="3"/>
  <c r="O119" i="3" s="1"/>
  <c r="C120" i="3"/>
  <c r="O120" i="3" s="1"/>
  <c r="C121" i="3"/>
  <c r="O121" i="3" s="1"/>
  <c r="C122" i="3"/>
  <c r="O122" i="3" s="1"/>
  <c r="C123" i="3"/>
  <c r="O123" i="3" s="1"/>
  <c r="C124" i="3"/>
  <c r="O124" i="3" s="1"/>
  <c r="C102" i="3"/>
  <c r="O102" i="3" s="1"/>
  <c r="N164" i="3"/>
  <c r="O164" i="3" s="1"/>
  <c r="O163" i="3"/>
  <c r="N162" i="3"/>
  <c r="O162" i="3" s="1"/>
  <c r="C194" i="4"/>
  <c r="O194" i="4" s="1"/>
  <c r="C193" i="4"/>
  <c r="O193" i="4" s="1"/>
  <c r="C191" i="4"/>
  <c r="O191" i="4" s="1"/>
  <c r="C190" i="4"/>
  <c r="O190" i="4" s="1"/>
  <c r="C189" i="4"/>
  <c r="O189" i="4" s="1"/>
  <c r="C188" i="4"/>
  <c r="O188" i="4" s="1"/>
  <c r="C187" i="4"/>
  <c r="C153" i="4"/>
  <c r="O153" i="4" s="1"/>
  <c r="O34" i="5"/>
  <c r="O98" i="3"/>
  <c r="O97" i="3"/>
  <c r="O96" i="3"/>
  <c r="O95" i="3"/>
  <c r="O94" i="3"/>
  <c r="O93" i="3"/>
  <c r="O92" i="3"/>
  <c r="O91" i="3"/>
  <c r="O23" i="3"/>
  <c r="O90" i="3"/>
  <c r="O89" i="3"/>
  <c r="N86" i="3"/>
  <c r="O86" i="3" s="1"/>
  <c r="O88" i="3"/>
  <c r="O87" i="3"/>
  <c r="O161" i="3"/>
  <c r="C152" i="4"/>
  <c r="O152" i="4" s="1"/>
  <c r="C186" i="4"/>
  <c r="O186" i="4" s="1"/>
  <c r="C10" i="4"/>
  <c r="O10" i="4" s="1"/>
  <c r="C149" i="4"/>
  <c r="O149" i="4" s="1"/>
  <c r="O185" i="4"/>
  <c r="O155" i="3"/>
  <c r="N83" i="3"/>
  <c r="O83" i="3" s="1"/>
  <c r="O33" i="5"/>
  <c r="O32" i="5"/>
  <c r="O31" i="5"/>
  <c r="O115" i="1"/>
  <c r="P115" i="1" s="1"/>
  <c r="O114" i="1"/>
  <c r="P114" i="1" s="1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C184" i="4"/>
  <c r="O184" i="4" s="1"/>
  <c r="N44" i="4"/>
  <c r="N43" i="4"/>
  <c r="N42" i="4"/>
  <c r="C42" i="4"/>
  <c r="N41" i="4"/>
  <c r="N40" i="4"/>
  <c r="N39" i="4"/>
  <c r="N38" i="4"/>
  <c r="N37" i="4"/>
  <c r="N36" i="4"/>
  <c r="N35" i="4"/>
  <c r="N34" i="4"/>
  <c r="N33" i="4"/>
  <c r="N32" i="4"/>
  <c r="N45" i="4"/>
  <c r="N46" i="4"/>
  <c r="N47" i="4"/>
  <c r="N28" i="4"/>
  <c r="N27" i="4"/>
  <c r="N31" i="4"/>
  <c r="N30" i="4"/>
  <c r="N29" i="4"/>
  <c r="N26" i="4"/>
  <c r="N25" i="4"/>
  <c r="C146" i="4"/>
  <c r="O146" i="4" s="1"/>
  <c r="C145" i="4"/>
  <c r="O145" i="4" s="1"/>
  <c r="O144" i="4"/>
  <c r="O66" i="3"/>
  <c r="C183" i="4"/>
  <c r="O183" i="4" s="1"/>
  <c r="C182" i="4"/>
  <c r="O182" i="4" s="1"/>
  <c r="C141" i="4"/>
  <c r="O141" i="4" s="1"/>
  <c r="O65" i="3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3" i="4"/>
  <c r="C44" i="4"/>
  <c r="C45" i="4"/>
  <c r="C46" i="4"/>
  <c r="C47" i="4"/>
  <c r="C25" i="4"/>
  <c r="N81" i="4"/>
  <c r="O81" i="4" s="1"/>
  <c r="O30" i="5"/>
  <c r="C140" i="4"/>
  <c r="O140" i="4" s="1"/>
  <c r="C139" i="4"/>
  <c r="O139" i="4" s="1"/>
  <c r="C138" i="4"/>
  <c r="O138" i="4" s="1"/>
  <c r="C137" i="4"/>
  <c r="O137" i="4" s="1"/>
  <c r="C136" i="4"/>
  <c r="O136" i="4" s="1"/>
  <c r="C135" i="4"/>
  <c r="O135" i="4" s="1"/>
  <c r="C181" i="4"/>
  <c r="O181" i="4" s="1"/>
  <c r="C133" i="4"/>
  <c r="O133" i="4" s="1"/>
  <c r="C132" i="4"/>
  <c r="O132" i="4" s="1"/>
  <c r="C131" i="4"/>
  <c r="O131" i="4" s="1"/>
  <c r="C130" i="4"/>
  <c r="O130" i="4" s="1"/>
  <c r="C129" i="4"/>
  <c r="O129" i="4" s="1"/>
  <c r="C128" i="4"/>
  <c r="O128" i="4" s="1"/>
  <c r="C127" i="4"/>
  <c r="O127" i="4" s="1"/>
  <c r="C126" i="4"/>
  <c r="O126" i="4" s="1"/>
  <c r="C125" i="4"/>
  <c r="O125" i="4" s="1"/>
  <c r="C124" i="4"/>
  <c r="O124" i="4" s="1"/>
  <c r="C123" i="4"/>
  <c r="O123" i="4" s="1"/>
  <c r="C122" i="4"/>
  <c r="O122" i="4" s="1"/>
  <c r="O64" i="3"/>
  <c r="C180" i="4"/>
  <c r="O180" i="4" s="1"/>
  <c r="O154" i="3"/>
  <c r="O29" i="5"/>
  <c r="C120" i="4"/>
  <c r="O120" i="4" s="1"/>
  <c r="N56" i="4"/>
  <c r="O56" i="4" s="1"/>
  <c r="O104" i="4"/>
  <c r="C9" i="4"/>
  <c r="O9" i="4" s="1"/>
  <c r="C5" i="4"/>
  <c r="O5" i="4" s="1"/>
  <c r="C4" i="4"/>
  <c r="O4" i="4" s="1"/>
  <c r="C116" i="4"/>
  <c r="O116" i="4" s="1"/>
  <c r="C179" i="4"/>
  <c r="O179" i="4" s="1"/>
  <c r="C178" i="4"/>
  <c r="O178" i="4" s="1"/>
  <c r="C177" i="4"/>
  <c r="O177" i="4" s="1"/>
  <c r="C112" i="4"/>
  <c r="O112" i="4" s="1"/>
  <c r="O69" i="1"/>
  <c r="P69" i="1" s="1"/>
  <c r="O153" i="3"/>
  <c r="O152" i="3"/>
  <c r="O151" i="3"/>
  <c r="O28" i="5"/>
  <c r="O59" i="3"/>
  <c r="O27" i="5"/>
  <c r="O58" i="3"/>
  <c r="O150" i="3"/>
  <c r="C111" i="4"/>
  <c r="O111" i="4" s="1"/>
  <c r="C176" i="4"/>
  <c r="O176" i="4" s="1"/>
  <c r="C175" i="4"/>
  <c r="O175" i="4" s="1"/>
  <c r="C174" i="4"/>
  <c r="O174" i="4" s="1"/>
  <c r="C107" i="4"/>
  <c r="O107" i="4" s="1"/>
  <c r="O26" i="5"/>
  <c r="O25" i="5"/>
  <c r="C173" i="4"/>
  <c r="O173" i="4" s="1"/>
  <c r="C105" i="4"/>
  <c r="O105" i="4" s="1"/>
  <c r="O24" i="5"/>
  <c r="N147" i="4"/>
  <c r="O147" i="4" s="1"/>
  <c r="N159" i="4"/>
  <c r="O159" i="4" s="1"/>
  <c r="N158" i="4"/>
  <c r="O158" i="4" s="1"/>
  <c r="N157" i="4"/>
  <c r="O157" i="4" s="1"/>
  <c r="N156" i="4"/>
  <c r="O156" i="4" s="1"/>
  <c r="N155" i="4"/>
  <c r="O155" i="4" s="1"/>
  <c r="N151" i="4"/>
  <c r="O151" i="4" s="1"/>
  <c r="N150" i="4"/>
  <c r="O150" i="4" s="1"/>
  <c r="N154" i="4"/>
  <c r="O154" i="4" s="1"/>
  <c r="N148" i="4"/>
  <c r="O148" i="4" s="1"/>
  <c r="O56" i="3"/>
  <c r="O55" i="3"/>
  <c r="O54" i="3"/>
  <c r="O94" i="1"/>
  <c r="O93" i="1"/>
  <c r="O92" i="1"/>
  <c r="O91" i="1"/>
  <c r="O90" i="1"/>
  <c r="O89" i="1"/>
  <c r="C93" i="1"/>
  <c r="C94" i="1"/>
  <c r="C92" i="1"/>
  <c r="C91" i="1"/>
  <c r="C90" i="1"/>
  <c r="C89" i="1"/>
  <c r="N49" i="3"/>
  <c r="N48" i="3"/>
  <c r="N47" i="3"/>
  <c r="N43" i="3"/>
  <c r="N42" i="3"/>
  <c r="N41" i="3"/>
  <c r="N40" i="3"/>
  <c r="N39" i="3"/>
  <c r="N38" i="3"/>
  <c r="N37" i="3"/>
  <c r="N36" i="3"/>
  <c r="C53" i="3"/>
  <c r="O53" i="3" s="1"/>
  <c r="C52" i="3"/>
  <c r="O52" i="3" s="1"/>
  <c r="C51" i="3"/>
  <c r="O51" i="3" s="1"/>
  <c r="C50" i="3"/>
  <c r="O50" i="3" s="1"/>
  <c r="C49" i="3"/>
  <c r="C48" i="3"/>
  <c r="C47" i="3"/>
  <c r="C43" i="3"/>
  <c r="C42" i="3"/>
  <c r="C41" i="3"/>
  <c r="C40" i="3"/>
  <c r="C39" i="3"/>
  <c r="C38" i="3"/>
  <c r="C37" i="3"/>
  <c r="C36" i="3"/>
  <c r="N29" i="3"/>
  <c r="O29" i="3" s="1"/>
  <c r="B26" i="6"/>
  <c r="N12" i="5"/>
  <c r="O12" i="5" s="1"/>
  <c r="N16" i="5"/>
  <c r="O16" i="5" s="1"/>
  <c r="N15" i="5"/>
  <c r="O15" i="5" s="1"/>
  <c r="O149" i="3"/>
  <c r="O148" i="3"/>
  <c r="O44" i="3"/>
  <c r="N147" i="3"/>
  <c r="O147" i="3" s="1"/>
  <c r="C143" i="4"/>
  <c r="O143" i="4" s="1"/>
  <c r="C172" i="4"/>
  <c r="O172" i="4" s="1"/>
  <c r="C54" i="4"/>
  <c r="O54" i="4" s="1"/>
  <c r="C102" i="4"/>
  <c r="O102" i="4" s="1"/>
  <c r="C171" i="4"/>
  <c r="O171" i="4" s="1"/>
  <c r="C170" i="4"/>
  <c r="O170" i="4" s="1"/>
  <c r="O23" i="5"/>
  <c r="O34" i="3"/>
  <c r="O22" i="5"/>
  <c r="O21" i="5"/>
  <c r="O20" i="5"/>
  <c r="O19" i="5"/>
  <c r="O18" i="5"/>
  <c r="O17" i="5"/>
  <c r="O33" i="3"/>
  <c r="O32" i="3"/>
  <c r="O31" i="3"/>
  <c r="O14" i="5"/>
  <c r="O13" i="5"/>
  <c r="O30" i="3"/>
  <c r="O28" i="3"/>
  <c r="O144" i="3"/>
  <c r="O76" i="1"/>
  <c r="P76" i="1" s="1"/>
  <c r="O75" i="1"/>
  <c r="P75" i="1" s="1"/>
  <c r="N59" i="4"/>
  <c r="O59" i="4" s="1"/>
  <c r="C99" i="4"/>
  <c r="O99" i="4" s="1"/>
  <c r="O98" i="4"/>
  <c r="C97" i="4"/>
  <c r="O97" i="4" s="1"/>
  <c r="C96" i="4"/>
  <c r="O96" i="4" s="1"/>
  <c r="C169" i="4"/>
  <c r="O169" i="4" s="1"/>
  <c r="C94" i="4"/>
  <c r="O94" i="4" s="1"/>
  <c r="O93" i="4"/>
  <c r="O92" i="4"/>
  <c r="O91" i="4"/>
  <c r="O90" i="4"/>
  <c r="O11" i="5"/>
  <c r="F1" i="4"/>
  <c r="O10" i="5"/>
  <c r="O9" i="5"/>
  <c r="O168" i="4"/>
  <c r="O88" i="4"/>
  <c r="O167" i="4"/>
  <c r="O142" i="4"/>
  <c r="O166" i="4"/>
  <c r="O134" i="4"/>
  <c r="O85" i="4"/>
  <c r="O84" i="4"/>
  <c r="O83" i="4"/>
  <c r="O165" i="4"/>
  <c r="O164" i="4"/>
  <c r="O163" i="4"/>
  <c r="O162" i="4"/>
  <c r="O160" i="4"/>
  <c r="O121" i="4"/>
  <c r="O119" i="4"/>
  <c r="O66" i="4"/>
  <c r="O118" i="4"/>
  <c r="O117" i="4"/>
  <c r="O65" i="4"/>
  <c r="O114" i="4"/>
  <c r="O113" i="4"/>
  <c r="O110" i="4"/>
  <c r="O109" i="4"/>
  <c r="O108" i="4"/>
  <c r="O106" i="4"/>
  <c r="O13" i="4"/>
  <c r="O12" i="4"/>
  <c r="O11" i="4"/>
  <c r="O103" i="4"/>
  <c r="O101" i="4"/>
  <c r="O64" i="4"/>
  <c r="O8" i="4"/>
  <c r="O7" i="4"/>
  <c r="O63" i="4"/>
  <c r="O62" i="4"/>
  <c r="O6" i="4"/>
  <c r="O61" i="4"/>
  <c r="O100" i="4"/>
  <c r="O60" i="4"/>
  <c r="O67" i="1"/>
  <c r="P67" i="1" s="1"/>
  <c r="O142" i="3"/>
  <c r="O141" i="3"/>
  <c r="O24" i="3"/>
  <c r="O22" i="3"/>
  <c r="O140" i="3"/>
  <c r="O20" i="3"/>
  <c r="O19" i="3"/>
  <c r="O139" i="3"/>
  <c r="B27" i="6" s="1"/>
  <c r="O138" i="3"/>
  <c r="O137" i="3"/>
  <c r="O135" i="3"/>
  <c r="O14" i="3"/>
  <c r="O134" i="3"/>
  <c r="O12" i="3"/>
  <c r="O11" i="3"/>
  <c r="O10" i="3"/>
  <c r="C57" i="4"/>
  <c r="O57" i="4" s="1"/>
  <c r="O95" i="4"/>
  <c r="O58" i="4"/>
  <c r="O3" i="3"/>
  <c r="O101" i="3"/>
  <c r="O5" i="3"/>
  <c r="O6" i="3"/>
  <c r="O126" i="3"/>
  <c r="O129" i="3"/>
  <c r="O133" i="3"/>
  <c r="O100" i="3"/>
  <c r="O4" i="5"/>
  <c r="O6" i="5"/>
  <c r="O7" i="5"/>
  <c r="N5" i="5"/>
  <c r="O5" i="5" s="1"/>
  <c r="N8" i="5"/>
  <c r="O8" i="5" s="1"/>
  <c r="P90" i="1" l="1"/>
  <c r="P89" i="1"/>
  <c r="P91" i="1"/>
  <c r="O274" i="4"/>
  <c r="M274" i="4"/>
  <c r="O271" i="4"/>
  <c r="M271" i="4"/>
  <c r="O266" i="4"/>
  <c r="M266" i="4"/>
  <c r="O267" i="4"/>
  <c r="M267" i="4"/>
  <c r="O268" i="4"/>
  <c r="M268" i="4"/>
  <c r="O277" i="4"/>
  <c r="M277" i="4"/>
  <c r="O279" i="4"/>
  <c r="M279" i="4"/>
  <c r="O280" i="4"/>
  <c r="M280" i="4"/>
  <c r="O278" i="4"/>
  <c r="M278" i="4"/>
  <c r="P92" i="1"/>
  <c r="P94" i="1"/>
  <c r="P93" i="1"/>
  <c r="B12" i="6"/>
  <c r="O41" i="4"/>
  <c r="B8" i="6"/>
  <c r="B23" i="6"/>
  <c r="B14" i="6"/>
  <c r="O43" i="4"/>
  <c r="O47" i="4"/>
  <c r="O46" i="4"/>
  <c r="O30" i="4"/>
  <c r="O26" i="4"/>
  <c r="O39" i="4"/>
  <c r="O14" i="4"/>
  <c r="O32" i="4"/>
  <c r="O33" i="4"/>
  <c r="O187" i="4"/>
  <c r="O37" i="4"/>
  <c r="O31" i="4"/>
  <c r="O38" i="4"/>
  <c r="O29" i="4"/>
  <c r="O44" i="4"/>
  <c r="O25" i="4"/>
  <c r="O34" i="4"/>
  <c r="O27" i="4"/>
  <c r="O28" i="4"/>
  <c r="O40" i="4"/>
  <c r="O36" i="4"/>
  <c r="O45" i="4"/>
  <c r="O42" i="4"/>
  <c r="O35" i="4"/>
  <c r="O41" i="3"/>
  <c r="O43" i="3"/>
  <c r="O48" i="3"/>
  <c r="B19" i="6" s="1"/>
  <c r="O47" i="3"/>
  <c r="O40" i="3"/>
  <c r="O37" i="3"/>
  <c r="O49" i="3"/>
  <c r="O38" i="3"/>
  <c r="O39" i="3"/>
  <c r="B22" i="6"/>
  <c r="O36" i="3"/>
  <c r="O42" i="3"/>
  <c r="B20" i="6"/>
  <c r="B21" i="6"/>
  <c r="B13" i="6"/>
  <c r="B15" i="6"/>
  <c r="B5" i="6" l="1"/>
  <c r="B16" i="6"/>
  <c r="B7" i="6"/>
  <c r="B24" i="6"/>
  <c r="B25" i="6"/>
  <c r="B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tc={69AB0C98-B1FA-404C-BD81-B7C8640C4C95}</author>
    <author>tc={21E9031D-E701-4EF4-BB8F-32A1A1135C25}</author>
    <author>tc={9E8808D9-2A49-49EC-9B46-CA65710DFE16}</author>
    <author>tc={0EC07F90-A756-4754-A889-ACD299067E15}</author>
    <author>tc={AAE5F550-BA21-440B-A5DB-2B0E46D3FFEF}</author>
    <author>tc={B0397DAA-26AA-4938-A1B2-A645191B5DCA}</author>
    <author>tc={0E26A437-18F3-4C8D-9279-861F1D314F62}</author>
    <author>tc={98FDF483-F376-45F2-8034-F614DEF48E69}</author>
    <author>tc={4950772E-AF80-49E6-A76A-7707E14E0959}</author>
    <author>tc={95004618-DE64-4E13-BFFB-C2E1945E2DCD}</author>
  </authors>
  <commentList>
    <comment ref="G144" authorId="0" shapeId="0" xr:uid="{69AB0C98-B1FA-404C-BD81-B7C8640C4C95}">
      <text>
        <t>[Threaded comment]
Your version of Excel allows you to read this threaded comment; however, any edits to it will get removed if the file is opened in a newer version of Excel. Learn more: https://go.microsoft.com/fwlink/?linkid=870924
Comment:
    Към 11-04-2025 има 18 бр.</t>
      </text>
    </comment>
    <comment ref="N183" authorId="1" shapeId="0" xr:uid="{21E9031D-E701-4EF4-BB8F-32A1A1135C25}">
      <text>
        <t>[Threaded comment]
Your version of Excel allows you to read this threaded comment; however, any edits to it will get removed if the file is opened in a newer version of Excel. Learn more: https://go.microsoft.com/fwlink/?linkid=870924
Comment:
    4,21</t>
      </text>
    </comment>
    <comment ref="N184" authorId="2" shapeId="0" xr:uid="{9E8808D9-2A49-49EC-9B46-CA65710DFE16}">
      <text>
        <t>[Threaded comment]
Your version of Excel allows you to read this threaded comment; however, any edits to it will get removed if the file is opened in a newer version of Excel. Learn more: https://go.microsoft.com/fwlink/?linkid=870924
Comment:
    22,34</t>
      </text>
    </comment>
    <comment ref="N185" authorId="3" shapeId="0" xr:uid="{0EC07F90-A756-4754-A889-ACD299067E15}">
      <text>
        <t>[Threaded comment]
Your version of Excel allows you to read this threaded comment; however, any edits to it will get removed if the file is opened in a newer version of Excel. Learn more: https://go.microsoft.com/fwlink/?linkid=870924
Comment:
    22,34</t>
      </text>
    </comment>
    <comment ref="N186" authorId="4" shapeId="0" xr:uid="{AAE5F550-BA21-440B-A5DB-2B0E46D3FFEF}">
      <text>
        <t>[Threaded comment]
Your version of Excel allows you to read this threaded comment; however, any edits to it will get removed if the file is opened in a newer version of Excel. Learn more: https://go.microsoft.com/fwlink/?linkid=870924
Comment:
    28,96</t>
      </text>
    </comment>
    <comment ref="N187" authorId="5" shapeId="0" xr:uid="{B0397DAA-26AA-4938-A1B2-A645191B5DCA}">
      <text>
        <t>[Threaded comment]
Your version of Excel allows you to read this threaded comment; however, any edits to it will get removed if the file is opened in a newer version of Excel. Learn more: https://go.microsoft.com/fwlink/?linkid=870924
Comment:
    28,96</t>
      </text>
    </comment>
    <comment ref="N188" authorId="6" shapeId="0" xr:uid="{0E26A437-18F3-4C8D-9279-861F1D314F62}">
      <text>
        <t>[Threaded comment]
Your version of Excel allows you to read this threaded comment; however, any edits to it will get removed if the file is opened in a newer version of Excel. Learn more: https://go.microsoft.com/fwlink/?linkid=870924
Comment:
    22,34</t>
      </text>
    </comment>
    <comment ref="N189" authorId="7" shapeId="0" xr:uid="{98FDF483-F376-45F2-8034-F614DEF48E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22,34
</t>
      </text>
    </comment>
    <comment ref="N190" authorId="8" shapeId="0" xr:uid="{4950772E-AF80-49E6-A76A-7707E14E0959}">
      <text>
        <t>[Threaded comment]
Your version of Excel allows you to read this threaded comment; however, any edits to it will get removed if the file is opened in a newer version of Excel. Learn more: https://go.microsoft.com/fwlink/?linkid=870924
Comment:
    28,96</t>
      </text>
    </comment>
    <comment ref="N191" authorId="9" shapeId="0" xr:uid="{95004618-DE64-4E13-BFFB-C2E1945E2DCD}">
      <text>
        <t>[Threaded comment]
Your version of Excel allows you to read this threaded comment; however, any edits to it will get removed if the file is opened in a newer version of Excel. Learn more: https://go.microsoft.com/fwlink/?linkid=870924
Comment:
    22,34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32C7F4-2CBE-44BC-ADAD-21FE7E3128D8}" keepAlive="1" name="Query - spare_parts_rows" description="Connection to the 'spare_parts_rows' query in the workbook." type="5" refreshedVersion="8" background="1" saveData="1">
    <dbPr connection="Provider=Microsoft.Mashup.OleDb.1;Data Source=$Workbook$;Location=spare_parts_rows;Extended Properties=&quot;&quot;" command="SELECT * FROM [spare_parts_row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<sst xmlns="http://schemas.openxmlformats.org/spreadsheetml/2006/main" count="6878" uniqueCount="2001">
  <si>
    <t>Описание артикул</t>
  </si>
  <si>
    <t>Желано количество</t>
  </si>
  <si>
    <t>Поръчано Количество</t>
  </si>
  <si>
    <t>Желана дата за доставка</t>
  </si>
  <si>
    <t>Машина</t>
  </si>
  <si>
    <t>COM No.</t>
  </si>
  <si>
    <t>Submission (UTC)</t>
  </si>
  <si>
    <t xml:space="preserve"> </t>
  </si>
  <si>
    <t>ID Запитване</t>
  </si>
  <si>
    <t>Доставчик</t>
  </si>
  <si>
    <t>Очаквана дата на доставка</t>
  </si>
  <si>
    <t>Товарителница</t>
  </si>
  <si>
    <t>Реална доставка</t>
  </si>
  <si>
    <t>Доставено количество</t>
  </si>
  <si>
    <t>Цена за 1 бр. в BGN</t>
  </si>
  <si>
    <t>Сума на поръчката в BGN</t>
  </si>
  <si>
    <t>Фактура?</t>
  </si>
  <si>
    <t>Транспортни документи</t>
  </si>
  <si>
    <t>Requester Name</t>
  </si>
  <si>
    <t>Requester email</t>
  </si>
  <si>
    <t>конусна втулка H317</t>
  </si>
  <si>
    <t>Лента</t>
  </si>
  <si>
    <t>Доставено</t>
  </si>
  <si>
    <t>CT-0021</t>
  </si>
  <si>
    <t>PROXTEAM</t>
  </si>
  <si>
    <t>лагер 22217KEJW33</t>
  </si>
  <si>
    <t>SNR/FR150x12,5x5</t>
  </si>
  <si>
    <t>лагерна черупка SNR/SNC.517</t>
  </si>
  <si>
    <t>верига 08В-1  - 5м</t>
  </si>
  <si>
    <t xml:space="preserve">мотор siemens 3 1LA5096-6AA22-Z  Nr. E 7L92 8928 01 003  0.74kW   905rpm/ min  </t>
  </si>
  <si>
    <t>НОВ</t>
  </si>
  <si>
    <t>FILKAB</t>
  </si>
  <si>
    <t xml:space="preserve">шлаух ф 8 </t>
  </si>
  <si>
    <t>200 метра</t>
  </si>
  <si>
    <t>Корпус 6, нова поточна линия памучна лента</t>
  </si>
  <si>
    <t>viautomation</t>
  </si>
  <si>
    <t>графитни втулки (лагери ) за фурните 9 (1078407 Bushing SIGRAFNE® EK3245 DRW. 051224 Rev.A.01)</t>
  </si>
  <si>
    <t>sglcarbon</t>
  </si>
  <si>
    <t>мотор siemens 3 1LA5107-4AA21-Z   3kW   1415rpm    Nr.E  7K92 6362 05 012</t>
  </si>
  <si>
    <t>лагер 6005ЕЕ</t>
  </si>
  <si>
    <t>държач на пръскалки</t>
  </si>
  <si>
    <t>Помпа дозатор за химия ЕМЕC code ACP07020K0000G00A000  DESCR. PUMP AMSCLPLUS 0720 FP 230VAC  0.18A    20.00 l/h   IP65  7bar -700KPas (https://cwc.com.au/products/chemical-dosing-pumps/emec-solenoid-driven-dosing-pumps/high-viscosity-polymer-pumps/emec-amscoplus-lpv-15l-hr-10b-or-60l-hr-2b-high-viscosity-heads/)</t>
  </si>
  <si>
    <t>Изпратено запитване</t>
  </si>
  <si>
    <t>CT-0031</t>
  </si>
  <si>
    <t>EMEC Srl</t>
  </si>
  <si>
    <t>балон за разширителен съд NEX 80LT 10bar ser.N 332714-032</t>
  </si>
  <si>
    <t>МИКРОМАКС ТРЕЙД</t>
  </si>
  <si>
    <t xml:space="preserve">прекъсвач telemecanique  AC -21A 63A   Ithe 50A V3 3R0917 </t>
  </si>
  <si>
    <t>ЕХНАТОН</t>
  </si>
  <si>
    <t>лагер RA103-NPP INA (CES.206-19)</t>
  </si>
  <si>
    <t>ос за редуктор (300620251_Shaft for EMEMBI)</t>
  </si>
  <si>
    <t>Зъбонарязване - петко</t>
  </si>
  <si>
    <t>магнит винтил ORIF. 2.4  W. 3N.C PRES.10 AC</t>
  </si>
  <si>
    <t xml:space="preserve">допълнителен контактор SCHRACK LSZ0D140F 4S/4NO </t>
  </si>
  <si>
    <t>Schrack.bg</t>
  </si>
  <si>
    <t xml:space="preserve">контактор SCHRACK LSD01730 AC 7,5kW 400V  БОБИНА 24V 50Hz </t>
  </si>
  <si>
    <t>РЕЛЕ GEM-SOL 24V 50Hz 8W</t>
  </si>
  <si>
    <t>болт вътрешен шестостен М10х65 за пакетаж</t>
  </si>
  <si>
    <t>ИТТ</t>
  </si>
  <si>
    <t xml:space="preserve">гайка М10 </t>
  </si>
  <si>
    <t>съединителни звена за верига 08В-1</t>
  </si>
  <si>
    <t xml:space="preserve">прозрачен шлаух ф10 </t>
  </si>
  <si>
    <t>звездогаечен ключ 14</t>
  </si>
  <si>
    <t>Инструменти</t>
  </si>
  <si>
    <t>Bekra</t>
  </si>
  <si>
    <t>1000455532-15.09.2025</t>
  </si>
  <si>
    <t xml:space="preserve">шестограм дълъг N 3 </t>
  </si>
  <si>
    <t>CT-0024</t>
  </si>
  <si>
    <t xml:space="preserve">шестограм дълъг N 8 </t>
  </si>
  <si>
    <t>RECA</t>
  </si>
  <si>
    <t>шестограм дълъг N 5</t>
  </si>
  <si>
    <t>прозрачен шлаух ф16</t>
  </si>
  <si>
    <t>CT-0038</t>
  </si>
  <si>
    <t>LD</t>
  </si>
  <si>
    <t>дълбоки камъни за малка тресчотка N10 Вложка удължена 1/4" BFD SW10 L-50mm 339210</t>
  </si>
  <si>
    <t>Бекра ООД</t>
  </si>
  <si>
    <t>дълбоки камъни за малка тресчотка N13 Вложка удължена 1/4" BFD SW13 L-50mm 417068</t>
  </si>
  <si>
    <t>дълбоки камъни за голяма тресчотка N15 Вложка удължена 1/4" BFD SW15 L-77mm 171394</t>
  </si>
  <si>
    <t xml:space="preserve"> камъни за малка тресчотка N13 Вложка 1/4" BFD SW13 L-25mm 372688\</t>
  </si>
  <si>
    <t xml:space="preserve"> камъни за малка тресчотка N8 Вложка 1/4" BFD SW8 L-25mm 372683</t>
  </si>
  <si>
    <t xml:space="preserve"> камъни за малка тресчотка N7 Вложка 1/4" BFD SW7 L-25mm 372682</t>
  </si>
  <si>
    <t>верига 08В-1  5м</t>
  </si>
  <si>
    <t>дълбоки камъни за голяма тресчотка N19 ВЛОЖКА 1/2" bfd sw19 l-38MM 372732</t>
  </si>
  <si>
    <t>TRIDONIC LC57/1050/54 fixC ip snc2.  Символ TME: 28004143</t>
  </si>
  <si>
    <t>TME</t>
  </si>
  <si>
    <t>кутия с резци за големи макетни ножове</t>
  </si>
  <si>
    <t>спрей бяла боя RALb9016</t>
  </si>
  <si>
    <t>Нишка</t>
  </si>
  <si>
    <t>Колор комерс-В ЕООД</t>
  </si>
  <si>
    <t>Батерия SIEMENS 6ES7971-0BA00</t>
  </si>
  <si>
    <t>CT-0001</t>
  </si>
  <si>
    <t>Telemecanique XS612B1PAM12 със по-голям обхват до 8мм</t>
  </si>
  <si>
    <t>Нишка+Лента</t>
  </si>
  <si>
    <t xml:space="preserve">Отвертка PZ 3x100 </t>
  </si>
  <si>
    <t>CT-0004</t>
  </si>
  <si>
    <t xml:space="preserve">Отвертка PZ 2x80 </t>
  </si>
  <si>
    <t xml:space="preserve">Отвертка SL 2x150 </t>
  </si>
  <si>
    <t xml:space="preserve">Отвертка SL 2x100 </t>
  </si>
  <si>
    <t>Отвертка с накрайници</t>
  </si>
  <si>
    <t>Ремък BB158 4065</t>
  </si>
  <si>
    <t>CM-0004</t>
  </si>
  <si>
    <t xml:space="preserve">Триера ООД </t>
  </si>
  <si>
    <t>Цанги прави 6мм --&gt; 6mm Festo QSMK-6 153440</t>
  </si>
  <si>
    <t>CBP &amp; CT 0001/2535091440</t>
  </si>
  <si>
    <t>FESTO</t>
  </si>
  <si>
    <t>Болт с външен шестостенна M8x25</t>
  </si>
  <si>
    <t>Болт с външен шестостенна M8x30</t>
  </si>
  <si>
    <t>Болт с външен шестостенна M8x35</t>
  </si>
  <si>
    <t>Болт с външен шестостенна M8x40</t>
  </si>
  <si>
    <t>Гайка M8</t>
  </si>
  <si>
    <t>Лагер SKF 2208 E-2RS1KTN9/C3</t>
  </si>
  <si>
    <t>CM-0002</t>
  </si>
  <si>
    <t>Кастел Карлово</t>
  </si>
  <si>
    <t>Мембрани за осмозата Wave ULP 4040 RO</t>
  </si>
  <si>
    <t>Nicol-n</t>
  </si>
  <si>
    <t>Амортисьор Stabilus Lift-o-mat 165395 0550N 185/13 AG35 (ST 165395 Газова пружина ф22, ход 296 mm, 550N)</t>
  </si>
  <si>
    <t>SO229099</t>
  </si>
  <si>
    <t>Амортисьор Lift-o-mat 2706TS 0500N 326/13 CC07 (ST 2706TS Газова пружина ф19, ход 60 mm, 500N)</t>
  </si>
  <si>
    <t>SO229179</t>
  </si>
  <si>
    <t>Грес Обикновена - кофа 18кг</t>
  </si>
  <si>
    <t>ОМНИКАР БГ ЕООД</t>
  </si>
  <si>
    <t>0200049421  26-06-2025</t>
  </si>
  <si>
    <t>-</t>
  </si>
  <si>
    <t>вариаторно масло - туба 20л</t>
  </si>
  <si>
    <t>Мотор-редуктор вариатор Motovario SRT 010/63/1,  i=5.08, n=37-187</t>
  </si>
  <si>
    <t>Мотор-редуктор-вариатор Motovario SRT 010/63/1,  i=3.16, n=60-309</t>
  </si>
  <si>
    <t xml:space="preserve">909707330006 - Fully spiked roll 382x382x1527 </t>
  </si>
  <si>
    <t>SPI-020172421-1</t>
  </si>
  <si>
    <t>Trutzschler (smarttextilchemie)</t>
  </si>
  <si>
    <t xml:space="preserve">Комплект Сепаратори за LUWA - </t>
  </si>
  <si>
    <t>Бял Филтър за LUWA ( Manica S5 NY24 RINFORZATA d.1700mm – h 1500mm )</t>
  </si>
  <si>
    <t>CT-0002</t>
  </si>
  <si>
    <t>Emmebi-impianti</t>
  </si>
  <si>
    <t>Мотор Leroy somer 3 1LS132M 9kW /2895 min-1/ NGD03183UL012</t>
  </si>
  <si>
    <t>TOSHIBA Motor TSHEQP GLOBAL SD.15HP.11KW.3600RPM.3PH.60HZ.230/460V.TEFC.254T.</t>
  </si>
  <si>
    <t>Нужна е повече информация</t>
  </si>
  <si>
    <t>Motovario SRT 010|63|1 i=5.08 n37.4 /187.01/B3</t>
  </si>
  <si>
    <t>Alexandris</t>
  </si>
  <si>
    <t>Телена четка за ъглошлайф 125мм</t>
  </si>
  <si>
    <t>балон NEX 80 LT 10bar   332714-032</t>
  </si>
  <si>
    <t>CT-0003</t>
  </si>
  <si>
    <t xml:space="preserve">Сензор за нишка: 0716577 9-202220-000 nozzle - Ø 5,0 mm. </t>
  </si>
  <si>
    <t>59AG272490</t>
  </si>
  <si>
    <t>DHL  - 2349442476</t>
  </si>
  <si>
    <t>Сензор за нишка: 0702100  9-02001-012403 nozzle - Ø 7,0 mm</t>
  </si>
  <si>
    <t>лама 0.12-40-5001-676-05.12-7</t>
  </si>
  <si>
    <t>лама 0.12-40-5001-676-06.14-13</t>
  </si>
  <si>
    <t>лама 0.12-40-5001-676-02.11-6</t>
  </si>
  <si>
    <t>лама 0.12-40-5001-676-05.12-8</t>
  </si>
  <si>
    <t>персостат jonson controls P48AAA-9110 16(10)A 400v</t>
  </si>
  <si>
    <t>CT-0010</t>
  </si>
  <si>
    <t>undrive M  M400-034 00094   4kW</t>
  </si>
  <si>
    <t>CT-0007</t>
  </si>
  <si>
    <t>АВАНГАРД ИНЖЕНЕРИНГ – ЕООД</t>
  </si>
  <si>
    <t>шлаух ф6 черен ( Z HTRAB64N Шлаух за спирачни системи 6x4)</t>
  </si>
  <si>
    <t>CT-003</t>
  </si>
  <si>
    <t>шлаух ф6 жълт (TPU 6/4-G Шлаух полиуретан, жълт)</t>
  </si>
  <si>
    <t>шлаух ф6 червен (TPU 6/4-R Шлаух полиуретан, Червен)</t>
  </si>
  <si>
    <t>шлаух ф6 зелен (TPU 6/4-V Шлаух полиуретан, зелен)</t>
  </si>
  <si>
    <t>персостат XMA-V06L2135</t>
  </si>
  <si>
    <t>CT-0006 | 444641</t>
  </si>
  <si>
    <t xml:space="preserve">gear motor F33BS DK80G8UTW Teile number 037181761551 </t>
  </si>
  <si>
    <t>CT-0008 | SPI-020174413-2</t>
  </si>
  <si>
    <t>Редова клема, едноредова, ZS16, 76A, 600V, 16mm2, сива</t>
  </si>
  <si>
    <t>VIKIWAT</t>
  </si>
  <si>
    <t>Редова клема, едноредова, ZS16-BL, 76A, 600V, 16mm2, синя</t>
  </si>
  <si>
    <t>Редова клема, едноредова, ZS16-PE, 76A, 600V, 16mm2, жълто-зелена, заземителна</t>
  </si>
  <si>
    <t>Редова клема, едноредова, ZS25, 76A, 600V, 25mm2, сива</t>
  </si>
  <si>
    <t>Редова клема, едноредова, ZS25-BL, 76A, 600V, 25mm2, синя</t>
  </si>
  <si>
    <t>Редова клема, едноредова, ZS25-PE, 76A, 600V, 25mm2, жълто-зелена, заземителна</t>
  </si>
  <si>
    <t>цинков спрей (Тъмно сив)</t>
  </si>
  <si>
    <t>1 кашон</t>
  </si>
  <si>
    <t>1000004247-14-03-2025</t>
  </si>
  <si>
    <t>болт вътрешен шестостен М4 х 10</t>
  </si>
  <si>
    <t>CM-0001</t>
  </si>
  <si>
    <t>Конусовиден болт М8 х 16</t>
  </si>
  <si>
    <t>топ червено кече</t>
  </si>
  <si>
    <t>Genesys MP - туба 20 литра</t>
  </si>
  <si>
    <t>CT-0005</t>
  </si>
  <si>
    <t>SEPTONA GR</t>
  </si>
  <si>
    <t>лагер SKF Explorer 22209 E/C3 GT Britain ( NSK 22209 EAE4C3)</t>
  </si>
  <si>
    <t>термозащита SCHRACK LSTD0250 1.8-2.5A</t>
  </si>
  <si>
    <t>CT-0009 | 459001453</t>
  </si>
  <si>
    <t>термозащита SCHRACK LSTD0125 0.9-1.25A</t>
  </si>
  <si>
    <t>ЛАГЕРНА ЧЕРУПКА FYTB505 (SNR FLE 205)</t>
  </si>
  <si>
    <t xml:space="preserve">CM-0002 | CT-0011 | M132025012 </t>
  </si>
  <si>
    <t>ЛАГЕР UC205 (NSK UC 205 D1)</t>
  </si>
  <si>
    <t>лагер 6206 2RS (6206 DDUCM NSK)</t>
  </si>
  <si>
    <t>лагер 6003EE (6003 DDUCM NSK)</t>
  </si>
  <si>
    <t>лагер NJ310EG (NSK NJ 310 EW)</t>
  </si>
  <si>
    <t>кабелни връзки 7,5х360 , 2,5х200, 4,9х250</t>
  </si>
  <si>
    <t>по 100бр</t>
  </si>
  <si>
    <t>PRAKTIS</t>
  </si>
  <si>
    <t>ECONT - 1054855029456</t>
  </si>
  <si>
    <t xml:space="preserve">бял стрей </t>
  </si>
  <si>
    <t>Филтърна подложка от нарязани влакна Артикулен номер: Rittal SK 3173.100 (Продуктов № доставчик 3173100)</t>
  </si>
  <si>
    <t>CT-0018</t>
  </si>
  <si>
    <t>RITTAL</t>
  </si>
  <si>
    <t>28/05/2025</t>
  </si>
  <si>
    <t>1251359625 - 26-06-2025</t>
  </si>
  <si>
    <t>бяла боя Ral 9016 кг.</t>
  </si>
  <si>
    <t>малки валяци за боядисване ширина 11 см</t>
  </si>
  <si>
    <t>Неделчев</t>
  </si>
  <si>
    <t>плексиглас 745х540х4мм</t>
  </si>
  <si>
    <t>SO-0000099057</t>
  </si>
  <si>
    <t>VISCOM</t>
  </si>
  <si>
    <t>плексиглас 800х530х5мм</t>
  </si>
  <si>
    <t>червена боя спрей RAL 2002</t>
  </si>
  <si>
    <t>4 флакона</t>
  </si>
  <si>
    <t xml:space="preserve">лагер 2204 2RS </t>
  </si>
  <si>
    <t>лагер 6208 2RS C3 (6208 DDUC3E NSK)</t>
  </si>
  <si>
    <t>ремък megadyne linea-xXPA 1457 LW</t>
  </si>
  <si>
    <t>Ремък 840XH ширина 75мм</t>
  </si>
  <si>
    <t>цанга права ф6 към ф6</t>
  </si>
  <si>
    <t>Монитор за диференциално налягане SAUTER DDL 110 F001  100.....1000Pa</t>
  </si>
  <si>
    <t>CT-0011</t>
  </si>
  <si>
    <t>rising-bms.bg</t>
  </si>
  <si>
    <t>болтове външен шестостен М6 х 12мм</t>
  </si>
  <si>
    <t>CM-0003 | 167269</t>
  </si>
  <si>
    <t>гайки М6</t>
  </si>
  <si>
    <t>чувал с ТАЛК 25кг</t>
  </si>
  <si>
    <t>Химтекс</t>
  </si>
  <si>
    <t>БИЗОН-КИТ КОНТАКТНО ЛЕПИЛО 0.650 ГР. КОД 7047</t>
  </si>
  <si>
    <t>Ремък A56 13X1425Li (CONTINENTAL CONTIV A56 13X1422lI 1452ld</t>
  </si>
  <si>
    <t>SIEMENS 1P 6EP1 331-1SL11 Sitop power 2 ---&gt; 6ES7307-1BA01-0AA0</t>
  </si>
  <si>
    <t>CT-0012</t>
  </si>
  <si>
    <t>SIEMENS 6EP1 437-3BA00</t>
  </si>
  <si>
    <t>черен филтър който се самопочиства 1700х1500 за LUWA</t>
  </si>
  <si>
    <t>CT-0013</t>
  </si>
  <si>
    <t>Чоп 30010 Locking Pin</t>
  </si>
  <si>
    <t>Hitsin HongKong</t>
  </si>
  <si>
    <t>Комплект керамични шлайф камъни за Пневматичен биакс</t>
  </si>
  <si>
    <t>PRAKTIKER</t>
  </si>
  <si>
    <t>основа за самостоятелен монтаж на термо реле тип LTT00160</t>
  </si>
  <si>
    <t>сензор datalogic  S50-PA5-C01PP --&gt;Фотоелектрически сензор DataSensing S5N-PA-5-C01-PP</t>
  </si>
  <si>
    <t>Поръчано</t>
  </si>
  <si>
    <t>CT-0058</t>
  </si>
  <si>
    <t>предпазител за мотор Siemens 3RV2011-1DA10</t>
  </si>
  <si>
    <t>редуктор тип NMRV 063  i-7.50   N5270426</t>
  </si>
  <si>
    <t>лопадки за кондензер (ГАРНИТУРА 991Х58Х4 ММ PUR, 14 ОТВОРА 9Х12 ММ/)</t>
  </si>
  <si>
    <t>23/05/2025</t>
  </si>
  <si>
    <t>CT-0017</t>
  </si>
  <si>
    <t>ламели за компактора</t>
  </si>
  <si>
    <t>29/05/2025</t>
  </si>
  <si>
    <t>CT-0015</t>
  </si>
  <si>
    <t>кани за нишка</t>
  </si>
  <si>
    <t>15/05/2025</t>
  </si>
  <si>
    <t>CT-0014</t>
  </si>
  <si>
    <t>DANTE BERTONI SRL</t>
  </si>
  <si>
    <t>13/06/2025</t>
  </si>
  <si>
    <t>710022/01/25/187606</t>
  </si>
  <si>
    <t>18/06/2025</t>
  </si>
  <si>
    <t>1/238 06/06/2025</t>
  </si>
  <si>
    <t>logit 0008105</t>
  </si>
  <si>
    <t>CAMOZZI 61M2P063A1000 --&gt; DSBC-63-1000-PPVA-N3</t>
  </si>
  <si>
    <t>CT-0019</t>
  </si>
  <si>
    <t>ремък B64 17x1625Li (megadyne basic nr B64 17X1626LI)+(MEGADYNE 17X1625Li/1670Lp (B 64))</t>
  </si>
  <si>
    <t>CM-0005</t>
  </si>
  <si>
    <t>редуктор SITI typon M1 30 N10    C/1.1    RAPP RATIO 30/1   COD.60125090</t>
  </si>
  <si>
    <t>МОТОР Bonfiglioli BN 63B 4  cod.830520156  0.18kW 50Hz 1320prm</t>
  </si>
  <si>
    <t>CT-0016</t>
  </si>
  <si>
    <t>УЛМЕР</t>
  </si>
  <si>
    <t>6000001 - капак за филтри за осмоза модел HPCF-9DC4 serial number 2023/005/036 (FB581 MWG FLANGED TOP COVER 325 HPCF + Purge CAP + O-ring)</t>
  </si>
  <si>
    <t>CT-0020</t>
  </si>
  <si>
    <t>EUROTROL</t>
  </si>
  <si>
    <t>885837303041 FEDEX</t>
  </si>
  <si>
    <t>3/8 преход към ф13 върт. 21 външен.</t>
  </si>
  <si>
    <t>цанга 1/2 към Ф12</t>
  </si>
  <si>
    <t xml:space="preserve"> ф13 върт. 21 външен. към 1/2</t>
  </si>
  <si>
    <t>Сферичен кран 1/2" женски от двете страни</t>
  </si>
  <si>
    <t xml:space="preserve">Скоба за маркуча ф13 върт. 21 </t>
  </si>
  <si>
    <t>плосък ремък ЗЕЛЕНО-ЖЪЛТ 30х1860</t>
  </si>
  <si>
    <t>maedler 12688130  Верижно Зъбно Колело 10B-2 Z30</t>
  </si>
  <si>
    <t>Нит 3,2мм</t>
  </si>
  <si>
    <t>сензор di-soric ORV 12M 1500 P1K 1BSL  10-36v DC 200mA PNP NC</t>
  </si>
  <si>
    <t>CT-0022</t>
  </si>
  <si>
    <t>Di-Soric</t>
  </si>
  <si>
    <t>00340434618149551606  (DHL)</t>
  </si>
  <si>
    <t>79616663  26-06-2025</t>
  </si>
  <si>
    <t>Delivery Note- 2643620</t>
  </si>
  <si>
    <t>ремък HTD-8M 800-D8M-20  (MEGADYNE 800 RPP8 20DD)</t>
  </si>
  <si>
    <t>CT-0023</t>
  </si>
  <si>
    <t>ремък HTD-8M 1520-D8M-20 (MITSUBOSHI 1520 DS8M 20)</t>
  </si>
  <si>
    <t>ремък HTD-8M 1360-8M-20 (OPTIBELT 1360 8M 20)</t>
  </si>
  <si>
    <t>ремък HTD-8M 720-D8M-20  (MEGADYNE 720 RPP8 20)</t>
  </si>
  <si>
    <t>ремък HTD-8M 1200-8M-20 (MEGADYNE 1200 RPP8 20)</t>
  </si>
  <si>
    <t>ремък зелен-жълт 1,25х15х550  (NITTA L-250 15x550 (плосък ремък))</t>
  </si>
  <si>
    <t>ремък черно - сиво 2,3х15х985 (NITTA TFL-15E20 15x985 (плосък ремък))</t>
  </si>
  <si>
    <t>ремък зелен-жълт 1,25х15х1088 (NITTA L-250 15x1088 (плосък ремък))</t>
  </si>
  <si>
    <t>шлаух ф10 различни цветове 100 метра - 3 ЦВЯТА</t>
  </si>
  <si>
    <t>Сферичен кран 1-1/4" Ж-Ж</t>
  </si>
  <si>
    <t>Контактен спрей OPN 60456, 400 ml</t>
  </si>
  <si>
    <t>DORMA KABA 3501439011002 - PHT3901 ВЪН ОБК ДРЪЖКА ОТВ ЗА ЕВРОП ЧЕР</t>
  </si>
  <si>
    <t>Dormakaba</t>
  </si>
  <si>
    <t>A11154-1 транспортна лента с дървени водачи RANDO OPPENER BLENDER</t>
  </si>
  <si>
    <t>RANDO MACHINE</t>
  </si>
  <si>
    <t>gear z- 24    m-6  code. 30.405 FLEISNNER</t>
  </si>
  <si>
    <t>gear z- 24    m-6 FLEISNNER  code.30.42</t>
  </si>
  <si>
    <t>toothead belt pylley z -28   p=12.7 code.10.1 FLEISNNER</t>
  </si>
  <si>
    <t xml:space="preserve">силиконов спрей </t>
  </si>
  <si>
    <t>WURTH</t>
  </si>
  <si>
    <t>кече ролка</t>
  </si>
  <si>
    <t>талк чувал</t>
  </si>
  <si>
    <t>SCHMERSAL - AZM 170-11ZRK-ST-2197 24VAC/DC</t>
  </si>
  <si>
    <t>Stratons</t>
  </si>
  <si>
    <t>03739_20-10-2025</t>
  </si>
  <si>
    <t>SCHMERSAL - AZ 17-11ZRK-ST</t>
  </si>
  <si>
    <t>спрей боя червена RAL 3020</t>
  </si>
  <si>
    <t>димитър</t>
  </si>
  <si>
    <t>блажна боя RAL 3020 червено</t>
  </si>
  <si>
    <t>ВАЛЯК ПОЛИЕСТЕР 10 CM/12 MM Ф15 MM COLOR EXPERT</t>
  </si>
  <si>
    <t>хоби лента 50мм х 20м</t>
  </si>
  <si>
    <t>канален сензор shield FPH419A3</t>
  </si>
  <si>
    <t>плексиглас 275х523х4</t>
  </si>
  <si>
    <t>CT-0025</t>
  </si>
  <si>
    <t>плексиглас  125х425х3</t>
  </si>
  <si>
    <t>плексиглас 330х220х5</t>
  </si>
  <si>
    <t>плексиглас 290х190х5</t>
  </si>
  <si>
    <t>Кабел за сензори 3x0.75 на метър</t>
  </si>
  <si>
    <t>CT-0026</t>
  </si>
  <si>
    <t>Cablecommerce</t>
  </si>
  <si>
    <t>BOX 0000 401 A - пластмасова кутия с чекмедже 401-A - 120x200x80 mm.</t>
  </si>
  <si>
    <t>CT-0027</t>
  </si>
  <si>
    <t>пластмасова кутия с чекмедже 302 - 106x122x62 mm.</t>
  </si>
  <si>
    <t>кече</t>
  </si>
  <si>
    <t>БЪРЗИ ВРЪЗКИ ЗА ШЛАУХ 1/2 ф10 (Съединител NPQM-D-G12-Q10-P10
558671)</t>
  </si>
  <si>
    <t xml:space="preserve">БЪРЗИ ВРЪЗКИ ЗА ШЛАУХ 3/8 ф10 </t>
  </si>
  <si>
    <t>15/08/2025</t>
  </si>
  <si>
    <t>БЪРЗИ ВРЪЗКИ ЗА ШЛАУХ 1/4 ф10</t>
  </si>
  <si>
    <t>Trutzschler FU 4B, part no. 9495-80.331.000 AB, ID No. 112454163</t>
  </si>
  <si>
    <t>CT-0028</t>
  </si>
  <si>
    <t xml:space="preserve"> ремък SPB 1850 Lw </t>
  </si>
  <si>
    <t>CT-0030</t>
  </si>
  <si>
    <t>лагер 6204 ZZ C3</t>
  </si>
  <si>
    <t>CT-0029</t>
  </si>
  <si>
    <t xml:space="preserve">Семеринг 20-35-7 </t>
  </si>
  <si>
    <t>0190993 - 15-08-2025</t>
  </si>
  <si>
    <t>лагер 6203 2Z</t>
  </si>
  <si>
    <t>лагер 6209 2Z C3</t>
  </si>
  <si>
    <t>300248 лагер 6210 C3 (KOYO/JTEK - 6210ZZC3 (barcode - 4549250309656)</t>
  </si>
  <si>
    <t>лагер 6005 2RS C3 (KOYO/JTEKT -60052RSC3 (barcode - 4549250143137)</t>
  </si>
  <si>
    <t xml:space="preserve">300227 - лагер 6006 2RS C3 (KOYO/JTEKT -60062RSC3 (barcode - 4549250143748,) - </t>
  </si>
  <si>
    <t xml:space="preserve">300228 - лагер 6007 2RS C3 (KOYO/JTEKT - 60072RSC3 (barcode - 4549250144387,) - </t>
  </si>
  <si>
    <t>300230 лагер 6012 2RS C3 (KOYO/JTEK - 60122RSC3 (barcodde - 4549250146640)</t>
  </si>
  <si>
    <t>лагер CCE78.3MB7916W17041</t>
  </si>
  <si>
    <t>300308 лагер US.205.G2(KOYO/JTEKT - SB205 (barcode - 124457)</t>
  </si>
  <si>
    <t>ВЕРИГА 10B-1 5M</t>
  </si>
  <si>
    <t>РЕМЪК B48   17x1225Li</t>
  </si>
  <si>
    <t>РЕМЪК C68 22x1727Li</t>
  </si>
  <si>
    <t>РЕМЪК XPA 1457Lw</t>
  </si>
  <si>
    <t>РЕМЪК ЗЕЛЕНО-ЖЪЛТ 30х1860</t>
  </si>
  <si>
    <t>ШЛАУХ    ф8 100метра</t>
  </si>
  <si>
    <t>шлаух ф10  100метра</t>
  </si>
  <si>
    <t xml:space="preserve">семеринг 15-20-5 </t>
  </si>
  <si>
    <t xml:space="preserve">лагер 6202-c-zz (KOYO/JTEKT - 6202ZZCM (barcode - 4549250152290 )- </t>
  </si>
  <si>
    <t>300243 лагер 6206 DDU (KOYO/JTEK - 62062RSCM (barcode - 4549250156458)</t>
  </si>
  <si>
    <t>звездогаечен ключ 10</t>
  </si>
  <si>
    <t>Варистор 510VAC, 670VDC, 820V, 7.5kA, THT, ERZE14A821</t>
  </si>
  <si>
    <t>Схема грец DBI25-16A, 25A, 1600V, трифазна Каталожен номер: 111391</t>
  </si>
  <si>
    <t>Схема Грец 25A, 1600V, SGBJ2516 Каталожен номер: 114922</t>
  </si>
  <si>
    <t>мотор 3-MOT 1 LA5113-2AA20-ZN15   3.8kW   2735 RPM</t>
  </si>
  <si>
    <t>клещи за рязяне на арматура 750мм (TL IND THT113306)</t>
  </si>
  <si>
    <t xml:space="preserve">Ремък Maxbelt B 1900/73 B </t>
  </si>
  <si>
    <t xml:space="preserve">Ремък Maxbelt B 2000/77 B </t>
  </si>
  <si>
    <t>Ремък Synchroforce CXA HTD 2000-8M-30</t>
  </si>
  <si>
    <t>Ремък Synchroforce CXA HTD 600-8M-30</t>
  </si>
  <si>
    <t>филтър UNIVER model HZE1F15G SERIAL 3610</t>
  </si>
  <si>
    <t>Пресостат danfoss 61B5</t>
  </si>
  <si>
    <t>CT-0032</t>
  </si>
  <si>
    <t xml:space="preserve">дросел 1/4 към ф 8 </t>
  </si>
  <si>
    <t>дросел 3/8 към ф 8</t>
  </si>
  <si>
    <t>бърза връзка за въздух (цанга) ф16-ф16 права</t>
  </si>
  <si>
    <t>бърза връзка 1/2-ф8</t>
  </si>
  <si>
    <t>бърза връзка ф10-ф10</t>
  </si>
  <si>
    <t>бърза връзка (цанга) ф8-ф8</t>
  </si>
  <si>
    <t xml:space="preserve">бърза връзка ф16-ф16 права </t>
  </si>
  <si>
    <t xml:space="preserve">бърза връзка ф14-ф14 права </t>
  </si>
  <si>
    <t>температурен сензор EMMEBI SAUTER TUP224F001 5....35 градуса</t>
  </si>
  <si>
    <t>CT-0033</t>
  </si>
  <si>
    <t>сензор за влага SAUTER HTP151 F001</t>
  </si>
  <si>
    <t>230920251_Plate_B12_K6</t>
  </si>
  <si>
    <t>CT-0034</t>
  </si>
  <si>
    <t xml:space="preserve">CLT </t>
  </si>
  <si>
    <t>ремък PHG B63 17x1600Li</t>
  </si>
  <si>
    <t>CT-0035</t>
  </si>
  <si>
    <t>ремък PHG B52.5 17x1335Li</t>
  </si>
  <si>
    <t>Шлаух   ф4 - метър</t>
  </si>
  <si>
    <t xml:space="preserve">SIEMENS 6DR5010-0EG00-0AA0 </t>
  </si>
  <si>
    <t>CT-0036</t>
  </si>
  <si>
    <t>Schneider Electric XVUZ02 - Фиксираща плоча 100mm полюс - черен</t>
  </si>
  <si>
    <t>CT-0037</t>
  </si>
  <si>
    <t>Schneider Electric  XVUC21B - DC Body</t>
  </si>
  <si>
    <t>Schneider Electric XVUC24 - RED</t>
  </si>
  <si>
    <t>Schneider Electric XVUC23 - GREEN</t>
  </si>
  <si>
    <t>Schneider Electric XVUC9S  - Buzzer</t>
  </si>
  <si>
    <t xml:space="preserve">A1 Top cover </t>
  </si>
  <si>
    <t>Telemecanique - XUK0ARCTL2</t>
  </si>
  <si>
    <t>мотор-редуктор Bonfiglioli A302 UR s1, Code: ME60A0570005 B8, i=52.7 + Mot M 1 L A 4 FD SA, Cod. 8G20020066 - M188845, 0.55kW 1380 min-1</t>
  </si>
  <si>
    <t>Черен само почистващ се филтър 1700/1500 LUWA</t>
  </si>
  <si>
    <t>Черен само почистващ филтър EMMEBI 1500/1350</t>
  </si>
  <si>
    <t>Ремък BB158 SKF</t>
  </si>
  <si>
    <t>Ремък SPA 1557 Lw</t>
  </si>
  <si>
    <t>Ремък XPA1457 Lw</t>
  </si>
  <si>
    <t>14/10/2025</t>
  </si>
  <si>
    <t>Ремък XPA 1600Lp</t>
  </si>
  <si>
    <t>CT-0041</t>
  </si>
  <si>
    <t>Ремък SPA 1550</t>
  </si>
  <si>
    <t>Ремък SPA 1582</t>
  </si>
  <si>
    <t>Ремък XPA 1450</t>
  </si>
  <si>
    <t xml:space="preserve">Механичен поплавък Quick stop Advance 1".  Standard  Pressure 0.2 - 6 bar </t>
  </si>
  <si>
    <t>Извита плоча на рандо TS на чертежа спешно</t>
  </si>
  <si>
    <t>CT-0039</t>
  </si>
  <si>
    <t>Siemens 3RV2011 – 1JA15</t>
  </si>
  <si>
    <t>CT-0040</t>
  </si>
  <si>
    <t>Siemens 3RV2011 – 1KA15</t>
  </si>
  <si>
    <t>Захранващ гребен 3 фазен - 50 см</t>
  </si>
  <si>
    <t>Транспортна лента с дървени ребра A11154-1 Rando Opener blender</t>
  </si>
  <si>
    <t xml:space="preserve">ДИГИТАЛЕН ВОЛТМЕТЪР КРЪГЪЛ EL-ED16R AC 12-500V Ф22mm </t>
  </si>
  <si>
    <t>Елмарк</t>
  </si>
  <si>
    <t>ДИГИТАЛЕН АМПЕРМЕТЪР КРЪГЪЛ EL-ED16R AC 0-100A Ф22mm</t>
  </si>
  <si>
    <t>Trutzschler FU 3D, P.-No.: 9 495-70.333.000 AD | ID-No.: 113084008</t>
  </si>
  <si>
    <t>Type: TO-T1, Com. no. 155672 A, Type-no. 098-07 09</t>
  </si>
  <si>
    <t>CT-0042</t>
  </si>
  <si>
    <t>iilev@septona-bg.com</t>
  </si>
  <si>
    <t>RIK, Relay Module - 949535234101, SPO-060111843</t>
  </si>
  <si>
    <t>Имбусен ключ SW - 4 (шесто грам)</t>
  </si>
  <si>
    <t>Шестограм 9/64</t>
  </si>
  <si>
    <t>Шестограм 5/32</t>
  </si>
  <si>
    <t>Шестограм 3/16</t>
  </si>
  <si>
    <t>Шестограм 5/16</t>
  </si>
  <si>
    <t>Трансмитер за диференциално налягане 1 kPa, DC - HPS-G-1K0 -2</t>
  </si>
  <si>
    <t>CT-0043</t>
  </si>
  <si>
    <t>Дървена лента със шипове, която качва памука в рандо 2</t>
  </si>
  <si>
    <t>CT-0046</t>
  </si>
  <si>
    <t>ialeksandrov@septona-bg.com</t>
  </si>
  <si>
    <t>Мембрани за осмоза</t>
  </si>
  <si>
    <t>Ремък 750 H ширина 50мм</t>
  </si>
  <si>
    <t>CT-0052</t>
  </si>
  <si>
    <t>SPEEDY 63358322816</t>
  </si>
  <si>
    <t>1000008409 - 26-11-2025</t>
  </si>
  <si>
    <t>Siemens 3RT1024-1A 24V - 50/60Hz ( 401005024087 - 3RT2024-1AB00)</t>
  </si>
  <si>
    <t>CT-0045</t>
  </si>
  <si>
    <t>Siemens 3RT1024-1A 24V - 50/60Hz - за 7,5kW (Siemens 401005024192 - 3RT2025-1AB00)</t>
  </si>
  <si>
    <t>Siemens H0Z060525 ( 3RH2911-1FA22 - 401005011019)</t>
  </si>
  <si>
    <t>Schneider ILM0703P01F0000</t>
  </si>
  <si>
    <t>CT-0044</t>
  </si>
  <si>
    <t>Верига 08B-1     5M</t>
  </si>
  <si>
    <t>Верига 10В-1    5М</t>
  </si>
  <si>
    <t xml:space="preserve">Обикновенни клещи </t>
  </si>
  <si>
    <t>Дългоусти клещи 200мм</t>
  </si>
  <si>
    <t>Клещи резачки 180мм</t>
  </si>
  <si>
    <t xml:space="preserve">Гайки М10 </t>
  </si>
  <si>
    <t>Болтове вътрешен шестостен М10 х 65</t>
  </si>
  <si>
    <t>Свредла ф4мм</t>
  </si>
  <si>
    <t>Свредла 3.5мм</t>
  </si>
  <si>
    <t>Свредла 3мм</t>
  </si>
  <si>
    <t>Звездогаечен ключ 13</t>
  </si>
  <si>
    <t>Звездогаечен ключ 10</t>
  </si>
  <si>
    <t>Отвертка 8х200 (PH 3 x 200)</t>
  </si>
  <si>
    <t>Отвертка плоска 5.5х125</t>
  </si>
  <si>
    <t>Labom CE6110 (Measuring Range: -0.5 to 0.1 bar,  Overpressure Limit: 3 bar, Power Supply: 6-30 VDC, Output: 4-20 mA, Serial Number: 2502029.10/003)</t>
  </si>
  <si>
    <t>s.kuytov@skuytov.eu</t>
  </si>
  <si>
    <t>Alternative for Labom COMPACT CE6110 - NEW -MBS 3300-8431-A6AB08-0DANFOSS-Converter pressure</t>
  </si>
  <si>
    <t>DHL - 6180831801 (JD014600012396517165)</t>
  </si>
  <si>
    <t>етикети за етекираща машина на пакетажа размери 80мм ширина 60мм дължина</t>
  </si>
  <si>
    <t>CT-0048</t>
  </si>
  <si>
    <t>Еликом</t>
  </si>
  <si>
    <t>Schneider Electric A9F74332 - Acti 9 iC60 - Миниатюрен автоматичен прекъсвач - 3P - 32A - крива C</t>
  </si>
  <si>
    <t>CT-0047</t>
  </si>
  <si>
    <t>Schneider Electric A9F74325 - Acti 9 iC60 - Миниатюрен Автоматичен прекъсвач iC60N за монтаж на DIN шина - 3P - 25A - крива C</t>
  </si>
  <si>
    <t>MITSUBOSHI 800H width 50 mm (4бр. OPTIBELT)</t>
  </si>
  <si>
    <t>CT-0049 | 3450</t>
  </si>
  <si>
    <t>1000008397 - 25-11-2025</t>
  </si>
  <si>
    <t>MITSUBOSHI 900H width 50 mm (4бр. OPTIBELT)</t>
  </si>
  <si>
    <t>MITSUBOSHI 750H width 50 mm (4бр. OPTIBELT)</t>
  </si>
  <si>
    <t>CT-0050</t>
  </si>
  <si>
    <t>Верига 10В-1  5метра</t>
  </si>
  <si>
    <t>Сензори за нишка 1.4 гр отвор 5.25 на дюзата (0704061 | 9-200215-000 | Sliver sensor ø 5)</t>
  </si>
  <si>
    <t>Com. No. 169917, 2016</t>
  </si>
  <si>
    <t>CT-0051</t>
  </si>
  <si>
    <t>верига 08В-1 5м</t>
  </si>
  <si>
    <t>Верига 12В-1 5метри</t>
  </si>
  <si>
    <t>верижно колело 08В-1 Z25 за конусна втулка 1610</t>
  </si>
  <si>
    <t>шестограм номер 4</t>
  </si>
  <si>
    <t>талк 25кг</t>
  </si>
  <si>
    <t>85мм х 300 МТ L284/OUT  WAX LOT 1130107 термо-трансферна лента</t>
  </si>
  <si>
    <t>шестограм 3/16</t>
  </si>
  <si>
    <t xml:space="preserve">сензор Telemecanique XCM IEC 947-5-1 Ui 500v B300 240V 1.5A   A150  Enc Type 4 </t>
  </si>
  <si>
    <t>self - aligning roller bearing DIN 635 FROM 222 13 SOND    120x31</t>
  </si>
  <si>
    <t>self aligning roller bearing DIN 635 FROM 223 08 SOND 90x33</t>
  </si>
  <si>
    <t>bearing bush</t>
  </si>
  <si>
    <t>flange за кондензера 1058.1.302</t>
  </si>
  <si>
    <t>Roller blade за кондензер 1058.1.330</t>
  </si>
  <si>
    <t>Gasket за кондензер 1058.1.307</t>
  </si>
  <si>
    <t>Лагер AJL K25 --&gt; SKF 2205 Е 2RSKTN9/C3</t>
  </si>
  <si>
    <t>CT-0053</t>
  </si>
  <si>
    <t>H305A конусна втулка</t>
  </si>
  <si>
    <t>Лагер INA G1115-KRR-B-AS2/V --&gt; SKF YEL 210-115 2F</t>
  </si>
  <si>
    <t>Плосък ремък зелен-жълт 30х1860</t>
  </si>
  <si>
    <t>Винт за твърда дървесина, gvZn, TX25, T17, CE, Ф 5x120 - 88097 1002 5 120</t>
  </si>
  <si>
    <t>Верижно колело 08B-1 Z 20  ф25 шпонков канал 6мм ширина 3 дебелина</t>
  </si>
  <si>
    <t>Конусни втулки Н306</t>
  </si>
  <si>
    <t>Лагер 2206KEEG15</t>
  </si>
  <si>
    <t>Верижно колело 08В-1 Z21 ф32 шполнок канал ширина 5 на височина 2.5</t>
  </si>
  <si>
    <t>Лагер 2207 KEEG15</t>
  </si>
  <si>
    <t>Конусна втулка Н307</t>
  </si>
  <si>
    <t>Семеринг 32-52-7</t>
  </si>
  <si>
    <t>Семеринг 35-52-7</t>
  </si>
  <si>
    <t>Лагер 6004 ZZ (KOYO 6004ZZCM GSR N2110)</t>
  </si>
  <si>
    <t>Ремък А44 13х1120Li</t>
  </si>
  <si>
    <t>Ремък В64 17х 1625Li</t>
  </si>
  <si>
    <t>Втулка за лагер H306</t>
  </si>
  <si>
    <t>ivelikov@septona-bg.com</t>
  </si>
  <si>
    <t>Ремък В52 17х 1320Li</t>
  </si>
  <si>
    <t>Лагер UC205</t>
  </si>
  <si>
    <t>Лагер UC205-16</t>
  </si>
  <si>
    <t>Ремък SPB 1750Lw</t>
  </si>
  <si>
    <t>Плосък ремък 30х1830 жълто-зелен</t>
  </si>
  <si>
    <t>Лагер 2207-K-2RS-TVHC3</t>
  </si>
  <si>
    <t>Конусна втулка 1610 ф42мм</t>
  </si>
  <si>
    <t>Конусна втулка 1108 ф24мм</t>
  </si>
  <si>
    <t>Конусна втулка 1610 ф 29мм</t>
  </si>
  <si>
    <t>Конусна втулка 2012 ф 38мм</t>
  </si>
  <si>
    <t>Лагерно тяло F205</t>
  </si>
  <si>
    <t>Ремък AA60 (Megadyne esaflex 1580)</t>
  </si>
  <si>
    <t>Лагер AJL K25</t>
  </si>
  <si>
    <t>Верига 08В-1 5метра</t>
  </si>
  <si>
    <t>Верига 10В-1 5 метра</t>
  </si>
  <si>
    <t xml:space="preserve">Верига 12В-1 5 метра </t>
  </si>
  <si>
    <t xml:space="preserve">Верига 10В-2 5 метра </t>
  </si>
  <si>
    <t>Чистител</t>
  </si>
  <si>
    <t>Силиконов спрей</t>
  </si>
  <si>
    <t>Талк 25кг</t>
  </si>
  <si>
    <t xml:space="preserve">Ръждо преобразувател </t>
  </si>
  <si>
    <t>Бял филтър за ЛУВА височина 1500 и диаметър 1700</t>
  </si>
  <si>
    <t>Шлаух ф10 - метър | TU1065BU-100  Полиуретанов шлаух, ф10/6.5ммр флуид: сгъстен въздух, вода, прозрачно-син цвят, ролка: 100m, мин. Радиус на огъване: 27mm</t>
  </si>
  <si>
    <t>CT-0054 | 20260126_04/26.01.2026</t>
  </si>
  <si>
    <t>2000001637 - 30.01.2026 - EUR 456.30</t>
  </si>
  <si>
    <t>Шлаух ф12 - метър | TU1208BU-100  Полиуретанов шлаух, ф12/8ммр флуид: сгъстен въздух, вода, прозрачно-син цвят, ролка: 100m, мин. Радиус на огъване: 35mm</t>
  </si>
  <si>
    <t xml:space="preserve">Цанга ф10-ф10 | SMC KQ2H10-00A Прав Фитинг ф10 </t>
  </si>
  <si>
    <t xml:space="preserve">Цанга ф12-ф12| SMC KQ2H12-00A Прав Фитинг ф12 </t>
  </si>
  <si>
    <t xml:space="preserve">Цанга ф12-ф10 | SMC KQ2H10-12A Прав Фитинг  с редукция ф10-ф23 </t>
  </si>
  <si>
    <t>Фенерчета за глава(челници)</t>
  </si>
  <si>
    <t>CT-0055</t>
  </si>
  <si>
    <t>Плосък ремък 30х1970 зелен зелен</t>
  </si>
  <si>
    <t>Комплект пили за метал TOTAL Industrial, 5 броя, 200 мм</t>
  </si>
  <si>
    <t>Чук шлосерски WADFOW, 1 кг</t>
  </si>
  <si>
    <t>Чук гумен с дървена дръжка YATO</t>
  </si>
  <si>
    <t>Чук каменарски JUCO с метална глава, 4 кг</t>
  </si>
  <si>
    <t>Мечоци М3 комплект</t>
  </si>
  <si>
    <t>Мечоци М4 комплект</t>
  </si>
  <si>
    <t>Свредла  ф3.5</t>
  </si>
  <si>
    <t xml:space="preserve">Свредла ф 4 </t>
  </si>
  <si>
    <t>Свредла ф 5</t>
  </si>
  <si>
    <t xml:space="preserve">Съединителни звена за верига 08В-1 цяло </t>
  </si>
  <si>
    <t>CT-0056</t>
  </si>
  <si>
    <t xml:space="preserve">Съединителни звена за верига 08В-1 половинка </t>
  </si>
  <si>
    <t>Комплект ударни отвертки LICOTA, 6 части</t>
  </si>
  <si>
    <t>Гайки М10</t>
  </si>
  <si>
    <t>Гайки М6</t>
  </si>
  <si>
    <t>Гайки М5</t>
  </si>
  <si>
    <t>Гайки М4</t>
  </si>
  <si>
    <t>Комплект зегер клещи TOTAL, 4 части Арт.№: TL THT114041</t>
  </si>
  <si>
    <t>Звездогаечни ключове 7</t>
  </si>
  <si>
    <t>Звездогаечни ключове 8</t>
  </si>
  <si>
    <t>Звездогаечни ключове 10</t>
  </si>
  <si>
    <t>Звездогаечни ключове 13</t>
  </si>
  <si>
    <t>Звездогаечни ключове 19</t>
  </si>
  <si>
    <t xml:space="preserve">Шестограм 3 ММ дълги </t>
  </si>
  <si>
    <t>Шестограм 4мм дълъг</t>
  </si>
  <si>
    <t>Шестограм 5мм дълъг</t>
  </si>
  <si>
    <t>Шестограм 3/32 дълги</t>
  </si>
  <si>
    <t>Шестограм 1/8</t>
  </si>
  <si>
    <t xml:space="preserve">Шестограм 1/4 </t>
  </si>
  <si>
    <t>Ремък В63.5 ( SKF PHG B63.5 17x1610Li)</t>
  </si>
  <si>
    <t>Ремък В52.5</t>
  </si>
  <si>
    <t>Лагер SKF 361206R</t>
  </si>
  <si>
    <t>Senzor DL S2-1-A5T    15 to 264 V ac/dc  ser. N 0248 --&gt; Фотоелектрически сензор DataSensing S300-PA-1-A06-RX</t>
  </si>
  <si>
    <t>Лагерна черупка за В12 catalog nomer 5- 1050.3.575</t>
  </si>
  <si>
    <t>CT-0057</t>
  </si>
  <si>
    <t>marzoli.it</t>
  </si>
  <si>
    <t>Лагерна черупка за В12 каталог номер 7-1050.3.577</t>
  </si>
  <si>
    <t xml:space="preserve">Ремък 1600-D8M-30 </t>
  </si>
  <si>
    <t>Ремък В63 17х1600Li</t>
  </si>
  <si>
    <t>Ремък ВВ162</t>
  </si>
  <si>
    <t>GVAE11 ( НАЛИЧЕН В ЕХНАТОН )</t>
  </si>
  <si>
    <t>iiliev@septona-bg.com</t>
  </si>
  <si>
    <t>Ремък 30х1860 зелено жълт (Habasit S-251H 30x1860x3)</t>
  </si>
  <si>
    <t>CT-0059</t>
  </si>
  <si>
    <t xml:space="preserve">Мултимер </t>
  </si>
  <si>
    <t>Плосък ремък 25х1830 - XH-500x3</t>
  </si>
  <si>
    <t>Статус</t>
  </si>
  <si>
    <t>ID запитване</t>
  </si>
  <si>
    <t>Name</t>
  </si>
  <si>
    <t>Реле Fotek SSR-25AA</t>
  </si>
  <si>
    <t>FALU, B&amp;M - Клечки за уши</t>
  </si>
  <si>
    <t>CBP-0022</t>
  </si>
  <si>
    <t>vallder.com</t>
  </si>
  <si>
    <t>Стойка за цилиндъра за езичета на бластерите 06351</t>
  </si>
  <si>
    <t>Motovario 9633156-004 NMRV 040 i 7.50 (https://www.motovario.com/eng/my-products/9633156-004)</t>
  </si>
  <si>
    <t>FALU - Тампони</t>
  </si>
  <si>
    <t>Разпределител серия EN, EN531-11-PN3 CAMOZZI (ACM 12)</t>
  </si>
  <si>
    <t>ACM</t>
  </si>
  <si>
    <t>CBP-0005 | SQ158222</t>
  </si>
  <si>
    <t xml:space="preserve">имбусен болт M4x8 </t>
  </si>
  <si>
    <t>Електромотор 0,37 kW, 1450 rpm, Ø14 ос изходяща да е съвместим със Motovario 9633156-004 NMRV 040 i 7.50 (https://www.motovario.com/eng/my-products/9633156-004)</t>
  </si>
  <si>
    <t xml:space="preserve">Зъбно колело 3.000.0002 </t>
  </si>
  <si>
    <t>ACM Engineering</t>
  </si>
  <si>
    <t>Зъбно колело 3.000.0002</t>
  </si>
  <si>
    <t>Силикон за насрещния за лепене на пликове 10mmx10mmx38cm</t>
  </si>
  <si>
    <t>Топчета</t>
  </si>
  <si>
    <t>Тъмно син спрей за палетите</t>
  </si>
  <si>
    <t>ОТК</t>
  </si>
  <si>
    <t>Шестограм 3</t>
  </si>
  <si>
    <t>3.000.0003</t>
  </si>
  <si>
    <t>Цилиндър ADVU-25-80-A-P-A --&gt; ADN-25-80-A-P-A  576652</t>
  </si>
  <si>
    <t>Ремък 700 H</t>
  </si>
  <si>
    <t>CBP-0040</t>
  </si>
  <si>
    <t>Шайби 4</t>
  </si>
  <si>
    <t>Общи</t>
  </si>
  <si>
    <t>Шайби 6</t>
  </si>
  <si>
    <t>Гайки 4mm</t>
  </si>
  <si>
    <t>Изключвател ZCMD21L2 (XCMD2110L2) Telemanique</t>
  </si>
  <si>
    <t>Лагер 6201</t>
  </si>
  <si>
    <t>Цилиндър Metal Work 2410250040XP</t>
  </si>
  <si>
    <t>kamatic</t>
  </si>
  <si>
    <t>Metal Work 121A500050CP</t>
  </si>
  <si>
    <t>RKC 4.4T-5/TEL - кабел за датчик</t>
  </si>
  <si>
    <t>CBP-0011 | 39275</t>
  </si>
  <si>
    <t>SENSOMAT</t>
  </si>
  <si>
    <t>Mobil SHC Cibus 150 20Lit</t>
  </si>
  <si>
    <t>Болтове за поасона</t>
  </si>
  <si>
    <t>222.204.103 Plain Bearing iglidur Ø08/10x10 - P210SM-0810-10</t>
  </si>
  <si>
    <t>Hennlich</t>
  </si>
  <si>
    <t xml:space="preserve">Болтове  М5/М6 — 10/16/20/25 </t>
  </si>
  <si>
    <t>Кръстат ключ за ел. табла</t>
  </si>
  <si>
    <t>Лист за ножовка, Bi-Metal, 24TPI, 12.5 x 300 мм, 2 бр HG HT3S280</t>
  </si>
  <si>
    <t>DSNU-25-228-PPV-A</t>
  </si>
  <si>
    <t>мотор seipee type JM90LA2B5 --&gt; K20279 BONFIGLIOLI BE 90L 2 230/400-50 IP55 CLF
B5 триф.ел.мотор IE2 P=2.2kW n=2870min-1</t>
  </si>
  <si>
    <t>CBP-0003</t>
  </si>
  <si>
    <t>SPEEDY - 63017193674</t>
  </si>
  <si>
    <t>Цилиндър Metal Work 1100250060CP --&gt; Festo DSNU-25-60-PPV-A</t>
  </si>
  <si>
    <t>Цилиндър FESTO DSNU-25-55-PPV-A</t>
  </si>
  <si>
    <t>Спирателен/хидрантен кран 2" месингов</t>
  </si>
  <si>
    <t>Филипчев</t>
  </si>
  <si>
    <t>Чукове — 800 грама (EURO 30480)</t>
  </si>
  <si>
    <t>Болт с вътрешен шестостен M4x25</t>
  </si>
  <si>
    <t>Болт с вътрешен шестостен M4x16</t>
  </si>
  <si>
    <t>Болт с вътрешен шестостен M6x25</t>
  </si>
  <si>
    <t>Болт с вътрешен шестостен M6x20</t>
  </si>
  <si>
    <t>Болт с вътрешен шестостен M6x16</t>
  </si>
  <si>
    <t>Болт с вътрешен шестостен M5x25</t>
  </si>
  <si>
    <t>Болт с вътрешен шестостен M5x20</t>
  </si>
  <si>
    <t>Болт с вътрешен шестостен M5x16</t>
  </si>
  <si>
    <t>Лагер 6205</t>
  </si>
  <si>
    <t>Ключове за табла - кръстат ( EDE 4030884001776)</t>
  </si>
  <si>
    <t>GIMATIC- 2321838- вендузи</t>
  </si>
  <si>
    <t>CBP-0029</t>
  </si>
  <si>
    <t>Болт с вътрешен шестостен M4x20</t>
  </si>
  <si>
    <t>Шпилка, DIN 976, 4.8, vZn, M 4 x 1000</t>
  </si>
  <si>
    <t>Шпилка, DIN 976, 4.8, vZn, M 5 x 1000</t>
  </si>
  <si>
    <t>Шпилка, DIN 976, 4.8, vZn, M 10 x 1000</t>
  </si>
  <si>
    <t>Шпилка, DIN 976, 4.8, vZn, M 12 x 1000</t>
  </si>
  <si>
    <t>Шпилка, DIN 976, 8.8, Bl., M 6 x 1000</t>
  </si>
  <si>
    <t>Шпилка, DIN 976, 8.8, Bl., M 8 x 1000</t>
  </si>
  <si>
    <t>SICK RE13-SA64S06  2071388 + RE13-SK 2065105</t>
  </si>
  <si>
    <t>CBP-0002/ 21342151</t>
  </si>
  <si>
    <t>SICK AG</t>
  </si>
  <si>
    <t>SICK Part No. 6025570 Connectors and cables DOS-1204-WX</t>
  </si>
  <si>
    <t>SICK Part No. 2105351 Connectors and cables YG2A14-030UB3XLEAX</t>
  </si>
  <si>
    <t>Мотор-type:T2A90S-2</t>
  </si>
  <si>
    <t>CBP-0037</t>
  </si>
  <si>
    <t>Дросел-обратен клапан FESTO GRLA-1/8-QS-6-D 193144</t>
  </si>
  <si>
    <t>CBP-0004/2535091351</t>
  </si>
  <si>
    <t>Festo DSNU-20-100-PPV-A</t>
  </si>
  <si>
    <t>Разпределител - АZ - ME 522 и ME 521</t>
  </si>
  <si>
    <t>CBP-0030</t>
  </si>
  <si>
    <t>MASTER</t>
  </si>
  <si>
    <t>Датчик- SICK WTB8-P2211</t>
  </si>
  <si>
    <t>CBP-0028</t>
  </si>
  <si>
    <t>Магнитен датчик Festo- SMT-8М-А-PS-24V-E-0,3-M8D</t>
  </si>
  <si>
    <t>CBP-0025</t>
  </si>
  <si>
    <t>Контактори Siemens- 3RT1016-BB41</t>
  </si>
  <si>
    <t>Кабел 34x0.75 на метър</t>
  </si>
  <si>
    <t>Спрей RAL 6019 +40%G | -10%Y</t>
  </si>
  <si>
    <t xml:space="preserve">CBP-0006 | </t>
  </si>
  <si>
    <t>Schneider Electric XB5AD912R10K - Harmony XB5 - Потенциометър Harmony XB5, Ø22 (основа+глава), пластмаса, 10K</t>
  </si>
  <si>
    <t xml:space="preserve">CBP-0007 | </t>
  </si>
  <si>
    <t>Шайби ф10</t>
  </si>
  <si>
    <t>Тетки ф6</t>
  </si>
  <si>
    <t>Цилиндър Festo 25x125</t>
  </si>
  <si>
    <t>Цилиндър Metal Work 2600320035 CP Bore 032  Stroke 0035</t>
  </si>
  <si>
    <t>CBP-0021</t>
  </si>
  <si>
    <t>Шайба ф5</t>
  </si>
  <si>
    <t>Шайба ф6</t>
  </si>
  <si>
    <t>Метчик M3 - комплект</t>
  </si>
  <si>
    <t>Метчик M4 - комплект</t>
  </si>
  <si>
    <t>Метчик M5 - комплект</t>
  </si>
  <si>
    <t>Метчик M6 - комплект</t>
  </si>
  <si>
    <t>шпонка 3</t>
  </si>
  <si>
    <t>шпонка 4</t>
  </si>
  <si>
    <t>шпонка 5</t>
  </si>
  <si>
    <t>шпонка 8</t>
  </si>
  <si>
    <t>ACM 4.005.0079</t>
  </si>
  <si>
    <t>DDT 128 (DHL 9654949161</t>
  </si>
  <si>
    <t>Транспортна лента L=231cm W=73 cm h=2mm</t>
  </si>
  <si>
    <t>CBP-0012</t>
  </si>
  <si>
    <t>5.010.0023 CALETTATORE RCK 61 14x26</t>
  </si>
  <si>
    <t>CBP-0008</t>
  </si>
  <si>
    <t>Инвертор- C200-012 00042 A101 00 AB100 / 0.75 kW</t>
  </si>
  <si>
    <t>CBP-0080</t>
  </si>
  <si>
    <t>PLCDirect Benelux B.V.</t>
  </si>
  <si>
    <t>Моторна защита -Siemens- 1.1-1.6 А</t>
  </si>
  <si>
    <t>SICK IQ04-1B5PSKRDS  6063881</t>
  </si>
  <si>
    <t>CBP-0009</t>
  </si>
  <si>
    <t>Mobil SHC Cibus 150 20L</t>
  </si>
  <si>
    <t>50490271162 Speedy</t>
  </si>
  <si>
    <t>Вендуза 016515</t>
  </si>
  <si>
    <t>CBP-0010 | SQ158961</t>
  </si>
  <si>
    <t>Щепсел 16A-6h, 3P+N. Щепсел ABL CEE 16A 400V 5P IP44 S51S30</t>
  </si>
  <si>
    <t>Контакт за стенен монтаж за Щепсел ABL CEE 16A 400V 5P IP44 S51S30</t>
  </si>
  <si>
    <t>Звездогаечен ключ 8</t>
  </si>
  <si>
    <t>Звездогаечен ключ 9</t>
  </si>
  <si>
    <t>Звездогаечен ключ 12</t>
  </si>
  <si>
    <t>Звездогаечен ключ 14</t>
  </si>
  <si>
    <t>Ремък MEGADYNE LINEA GOLD AX 23 13 x 605 LP (13X617 LD)</t>
  </si>
  <si>
    <t>Кабели за мотора на ACM 168 drw. no. 2.040.0024</t>
  </si>
  <si>
    <t>CBP-0013</t>
  </si>
  <si>
    <t>Цилиндър ➖50М2Р16А1000</t>
  </si>
  <si>
    <t>CBP-0026</t>
  </si>
  <si>
    <t>Държач за вендуза за АСМ 16 (S.n. 168)  4.150.0007 PORTAVENTOSA DIVARICATORI</t>
  </si>
  <si>
    <t>Оферта в процес на одобрение</t>
  </si>
  <si>
    <t>Шпилка за отваряне на лапички за ACM 12,13,15,17 (по 16 бр. за машина)</t>
  </si>
  <si>
    <t>Винт фрезенков, DIN 7991, 8.8, vZn, M 4 x 6</t>
  </si>
  <si>
    <t>Винт фрезенков, DIN 7991, 8.8, vZn, M 4 x 8</t>
  </si>
  <si>
    <t>Винт фрезенков, DIN 7991, 8.8, vZn, M 4 x 10</t>
  </si>
  <si>
    <t>Винт фрезенков, DIN 7991, 8.8, vZn, M 4 x 12</t>
  </si>
  <si>
    <t>Винт фрезенков, DIN 7991, 8.8, vZn, M 4 x 16</t>
  </si>
  <si>
    <t>Винт фрезенков, DIN 7991, 8.8, vZn, M 5 x 8</t>
  </si>
  <si>
    <t>Винт фрезенков, DIN 7991, 8.8, vZn, M 5 x 10</t>
  </si>
  <si>
    <t>Винт фрезенков, DIN 7991, 8.8, vZn, M 5 x 12</t>
  </si>
  <si>
    <t>Винт фрезенков, DIN 7991, 8.8, vZn, M 5 x 16</t>
  </si>
  <si>
    <t>Винт фрезенков, DIN 7991, 8.8, vZn, M 5 x 6</t>
  </si>
  <si>
    <t>Винт фрезенков, DIN 7991, 8.8, vZn, M 6 x 6</t>
  </si>
  <si>
    <t>Винт фрезенков, DIN 7991, 8.8, vZn, M 6 x 8</t>
  </si>
  <si>
    <t>Винт фрезенков, DIN 7991, 8.8, vZn, M 6 x 10</t>
  </si>
  <si>
    <t>Винт фрезенков, DIN 7991, 8.8, vZn, M 6 x 12</t>
  </si>
  <si>
    <t>Винт фрезенков, DIN 7991, 8.8, vZn, M 6 x 16</t>
  </si>
  <si>
    <t>Винт с вътр. шестостен,DIN 912,8.8,vZn,M 4x6</t>
  </si>
  <si>
    <t>Винт с вътр. шестостен,DIN 912,8.8,vZn,M 4x10</t>
  </si>
  <si>
    <t>Винт с вътр. шестостен,DIN 912,8.8,vZn,M 4x16</t>
  </si>
  <si>
    <t>Винт с вътр. шестостен,DIN 912,8.8,vZn,M 4x20</t>
  </si>
  <si>
    <t>Винт с вътр. шестостен,DIN 912,8.8,vZn,M 5x6</t>
  </si>
  <si>
    <t>Винт с вътр. шестостен,DIN 912,8.8,vZn,M 5x10</t>
  </si>
  <si>
    <t>Винт с вътр. шестостен,DIN 912,8.8,vZn,M 5x16</t>
  </si>
  <si>
    <t>Винт с вътр. шестостен,DIN 912,8.8,vZn,M 5x20</t>
  </si>
  <si>
    <t>Ремък Megadyne EXTRA SPB 1450 Lw (1472 La)</t>
  </si>
  <si>
    <t>Водач със лагерни топчета за масата на барбекюто</t>
  </si>
  <si>
    <t>Цанга ф8x 1/4" - прави</t>
  </si>
  <si>
    <t>Цанга ф6 x 1/8 на 90 градуса</t>
  </si>
  <si>
    <t>4.005.0026 - червени вулкулани</t>
  </si>
  <si>
    <t>Лагер 6206-2Z/C3  1102073C EXPLORER</t>
  </si>
  <si>
    <t>Семеринг 35-52-7 FF40</t>
  </si>
  <si>
    <t>Лагер 6205-2Z/C3 Explorer</t>
  </si>
  <si>
    <t>5.045.0052- CILINDRO CMPC UNITOP D.40 C=30-70 COD.240040R010CP (ACM 168)</t>
  </si>
  <si>
    <t>Ултра звукова ваничка за принтерите</t>
  </si>
  <si>
    <t>Драйвер V-TAC, SKU 113450000509</t>
  </si>
  <si>
    <t>Wuerth ADHESIVE LUBRICANT HHS 2000®</t>
  </si>
  <si>
    <t>LED Panel 60x60  4000K</t>
  </si>
  <si>
    <t>Работилница</t>
  </si>
  <si>
    <t>114750-25 за ръчичката на Falu</t>
  </si>
  <si>
    <t>CBP-0038</t>
  </si>
  <si>
    <t>Falu</t>
  </si>
  <si>
    <t>114749-25 за ръчичката на Falu</t>
  </si>
  <si>
    <t>Двойно лепнещо тиксо/лента/</t>
  </si>
  <si>
    <t xml:space="preserve">Смазка HHS-2000 WURTH </t>
  </si>
  <si>
    <t>Schneider RSL1AB4BD</t>
  </si>
  <si>
    <t>MEGADYNE ISORAN 240L 040 (A281124 CONTINTETAL CONTITECH 240L 040)</t>
  </si>
  <si>
    <t>Ремък Optibelt ZR 540L</t>
  </si>
  <si>
    <t>Лепачки за тампони промопликове</t>
  </si>
  <si>
    <t>Отказано</t>
  </si>
  <si>
    <t>Лагер 608 (SNR 608EE)</t>
  </si>
  <si>
    <t>лагер 6205</t>
  </si>
  <si>
    <t>Изработка на втулки за лагер 6205.EE за корпус на електродвигател</t>
  </si>
  <si>
    <t>Пружина за резби M5x15/16</t>
  </si>
  <si>
    <t>Пружина за резби M5x10</t>
  </si>
  <si>
    <t>035874 Satellite gear assembly, Z30 M2, WIth short pin</t>
  </si>
  <si>
    <t xml:space="preserve">253.201.082 - Kolbenstangenloser-Zylinder 500 mm D032 - Rodless Cylinder </t>
  </si>
  <si>
    <t>CBP-0014</t>
  </si>
  <si>
    <t>S2X.971.070-A - Führung D10 h9 - Guide</t>
  </si>
  <si>
    <t xml:space="preserve">S2X.972.285-A - Führungstange 20h9, L=780 - Guide Shaft 20h9, L=780 </t>
  </si>
  <si>
    <t>FALU 008524 PERNO CILINDRO USCITA</t>
  </si>
  <si>
    <t>4.000.0018 ALBERO MOTORE</t>
  </si>
  <si>
    <t>Г-образен ключ ExtraLong WP, SW 1.5</t>
  </si>
  <si>
    <t>Г-образен ключ ExtraLong WP, SW 2</t>
  </si>
  <si>
    <t>Г-образен ключ ExtraLong WP, SW 2.5</t>
  </si>
  <si>
    <t>Г-образен ключ ExtraLong WP, SW 4</t>
  </si>
  <si>
    <t>FESTO DSNU-25-125-PPV-A</t>
  </si>
  <si>
    <t>CBP-0018</t>
  </si>
  <si>
    <t>Falu - Верига - 034818</t>
  </si>
  <si>
    <t xml:space="preserve">003508 PULEGGIA FISSA DEL VARIATORE </t>
  </si>
  <si>
    <t>Помпа за каша за ръце на wuerth</t>
  </si>
  <si>
    <t>Bonfiglioli W 63 U 100 P71 B14 V5, CODE 2G200133G4</t>
  </si>
  <si>
    <t>CBP-0015</t>
  </si>
  <si>
    <t>Зарядно за фенерчетата</t>
  </si>
  <si>
    <t>Направляваща METER WZ4020 ф40x180</t>
  </si>
  <si>
    <t xml:space="preserve">Дискове за ъглошайф ф125x1x22.23mm </t>
  </si>
  <si>
    <t>Клещи тип "човки" мини TOTAL, остри, 115 мм</t>
  </si>
  <si>
    <t xml:space="preserve">T-образен имбусен ключ SW 3 </t>
  </si>
  <si>
    <t>T-образен имбусен ключ SW 4</t>
  </si>
  <si>
    <t>T-образен имбусен ключ SW 5</t>
  </si>
  <si>
    <t>T-образен имбусен ключ SW 6</t>
  </si>
  <si>
    <t>002993 ALBERO TENDICATENA</t>
  </si>
  <si>
    <t>CBP-0016</t>
  </si>
  <si>
    <t>035515 PIGNONE DOPPIO Z28 1/2"X3/16" RICAVATO DAL PIENO</t>
  </si>
  <si>
    <t>034826 ASSIEME SUPPORTO CON ROTELLA SICUREZZA CATENA USCITA</t>
  </si>
  <si>
    <t>FESTO Вилка  SG-M8</t>
  </si>
  <si>
    <t>CBP-0019</t>
  </si>
  <si>
    <t>002991 ALBERO VOLANO</t>
  </si>
  <si>
    <t>CBP-0017</t>
  </si>
  <si>
    <t>033565 TASSELLO PORTAMOLLE E REGOLAZIONE DX</t>
  </si>
  <si>
    <t>03489 TASSELLO PORTAMOLLE E REGOLAZIONE DX</t>
  </si>
  <si>
    <t>Камък къс 17 - най големия</t>
  </si>
  <si>
    <t>Камък дълбок 17 - най големия</t>
  </si>
  <si>
    <t>SMC C8525-0GA074-280</t>
  </si>
  <si>
    <t>CBP-0020</t>
  </si>
  <si>
    <t>Цанга ф8x1/4 права FESTO QS-G1/4-8</t>
  </si>
  <si>
    <t>Получена оферта</t>
  </si>
  <si>
    <t>FESTO VFOE-LE-T-M5-Q4</t>
  </si>
  <si>
    <t>VFOE-LE-T-G18-Q4</t>
  </si>
  <si>
    <t>FESTO VFOE-LE-T-G14-Q10</t>
  </si>
  <si>
    <t>FESTO VFOE-LE-T-G14-Q6</t>
  </si>
  <si>
    <t>FESTO VFOE-LE-T-G18-Q6-P50</t>
  </si>
  <si>
    <t>FESTO VFOE-LE-T-M5-Q6</t>
  </si>
  <si>
    <t>FESTO VFOE-LE-T-G14-Q8-P50</t>
  </si>
  <si>
    <t>FESTO VFOE-LE-T-G18-Q8</t>
  </si>
  <si>
    <t>СИГНАЛНА ЛЕНТА SCHULLER 456870</t>
  </si>
  <si>
    <t>Плътна четка за зъби за почистване на принтерите</t>
  </si>
  <si>
    <t>Вложка възстановителна AMECA Typ SR, A2, AM 5 x 5 (88330 9200 5 5)</t>
  </si>
  <si>
    <t>Вложка възстановителна AMECA Typ SR, A2, AM 5 x 7 (88330 9200 5 7)</t>
  </si>
  <si>
    <t>Вложка възстановителна AMECA Typ SR, A2, AM 5 x 10</t>
  </si>
  <si>
    <t>Вложка възстановителна AMECA Typ SR, A2, AM 5 x 12</t>
  </si>
  <si>
    <t>Вложка възстановителна AMECA Typ SR, A2, AM 5 x 15</t>
  </si>
  <si>
    <t>Крилчат болт M4</t>
  </si>
  <si>
    <t>Крилчат болт M5</t>
  </si>
  <si>
    <t>Крилчат болт M6</t>
  </si>
  <si>
    <t>Крилчат болт M8</t>
  </si>
  <si>
    <t>Крилчат болт M10</t>
  </si>
  <si>
    <t>Крилчата Гайка M4</t>
  </si>
  <si>
    <t>Крилчата Гайка M5</t>
  </si>
  <si>
    <t>Крилчата Гайка M6</t>
  </si>
  <si>
    <t>Крилчата Гайка M8</t>
  </si>
  <si>
    <t>Крилчата Гайка M10</t>
  </si>
  <si>
    <t>Игла за шиене ф1,5 мм</t>
  </si>
  <si>
    <t>Цанга 90 градуса ф6x1/8"</t>
  </si>
  <si>
    <t>Гайка M4</t>
  </si>
  <si>
    <t>Гайка M4 с осугурител</t>
  </si>
  <si>
    <t>FESTO SMT-8N-A, PS24V-E-0.3-M8D</t>
  </si>
  <si>
    <t>Fork_packing_A02</t>
  </si>
  <si>
    <t>s</t>
  </si>
  <si>
    <t>CBP-0023</t>
  </si>
  <si>
    <t>SIEMENS 3RT2016-1BB41</t>
  </si>
  <si>
    <t>CBP-0024</t>
  </si>
  <si>
    <t>Control Techniques CT Commander C200-03400056 2.2kW 400V 3 Phase</t>
  </si>
  <si>
    <t>Цилиндър - MGPM16-150Z</t>
  </si>
  <si>
    <t>Meltmann FS02.1007.50 (Robatech Concept Tank Filter Long Sintered 130)</t>
  </si>
  <si>
    <t>CBP-0027</t>
  </si>
  <si>
    <t>meltmann.com</t>
  </si>
  <si>
    <t>Разпределител - АZ -  ME 521</t>
  </si>
  <si>
    <t>FESTO VUVS-LK25-M52-AD-G14-1B2+GL-S (AZ 522 ME)</t>
  </si>
  <si>
    <t>CBP-0031</t>
  </si>
  <si>
    <t>GLS: 66953042893</t>
  </si>
  <si>
    <t>FESTO VUVS-LK20-M52-AD-G18-1C1+GL-S (AZ 521 ME)</t>
  </si>
  <si>
    <t>Имбусен Болтов  М5x10</t>
  </si>
  <si>
    <t>Имбусен болт M5x16</t>
  </si>
  <si>
    <t>Имбусен болт M5x20</t>
  </si>
  <si>
    <t>Имбусен болт M5x25</t>
  </si>
  <si>
    <t>Имбусен болт M6x10</t>
  </si>
  <si>
    <t>Имбусен болт M6x16</t>
  </si>
  <si>
    <t>Имбусен болт M6x20</t>
  </si>
  <si>
    <t>Имбусен болт M6x25</t>
  </si>
  <si>
    <t>Реле- 24V DC  OMRON G2R-1-SN (S)</t>
  </si>
  <si>
    <t>CBP-0032</t>
  </si>
  <si>
    <t>GEMAMEX</t>
  </si>
  <si>
    <t>FALU 035746 - Pin Plug for Roll</t>
  </si>
  <si>
    <t>Falu - 035742 - Bushing for roll</t>
  </si>
  <si>
    <t>Falu - 035742 -Roll</t>
  </si>
  <si>
    <t>SMC CD85N20-300C-B (DSNU-20-300-PPV-A)</t>
  </si>
  <si>
    <t>CBP-0033</t>
  </si>
  <si>
    <t>Дунапренен валяк Ф50xФ6 L=70мм</t>
  </si>
  <si>
    <t>3RV2011-1AA10</t>
  </si>
  <si>
    <t>CBP-0034</t>
  </si>
  <si>
    <t>4012067454 - 17/07/2025</t>
  </si>
  <si>
    <t>LC1D18M7 - 3-полюсен контактор, 18А, HO+H3, 220V, 50/60</t>
  </si>
  <si>
    <t>CBP-0035</t>
  </si>
  <si>
    <t>Schneider Electric GV2ME21 - TeSys GV2 - Термомагнитен моторен прекъсвач, 17-23А</t>
  </si>
  <si>
    <t>Vivoil X2P4901ECBA</t>
  </si>
  <si>
    <t>NTN NA 4908</t>
  </si>
  <si>
    <t>Стопери — М6 с остър връх</t>
  </si>
  <si>
    <t xml:space="preserve">Стопери — М6 със сферичен връх </t>
  </si>
  <si>
    <t>Стопери — М6 с плосък връх</t>
  </si>
  <si>
    <t>Шлаух ф 6 (TU0604BU-100)</t>
  </si>
  <si>
    <t>CBP-0076</t>
  </si>
  <si>
    <t>003532 PULLEY Z40 LOSO, WITH PERFORATION, DIAMETER 20 AND KEY</t>
  </si>
  <si>
    <t>003512 PULLEY Z40 L075, WITH PERFORATION, DIAMETER 69</t>
  </si>
  <si>
    <t>Малка четка СТ4.053.001</t>
  </si>
  <si>
    <t>Тефлонова лента самозалепваща — 50 x0,115</t>
  </si>
  <si>
    <t>Тефлонова лента (не лепяща) 1метър на 5метра</t>
  </si>
  <si>
    <t>Кабел 3x0.75 — 15 метра</t>
  </si>
  <si>
    <t>035328 - PULEGGIA VARIABLE VAR 100 FORO 14</t>
  </si>
  <si>
    <t>Нагревател патронен с термодвойка - ULTRAMAX with TC mm/8x160/400W/38160400</t>
  </si>
  <si>
    <t>CBP-0039</t>
  </si>
  <si>
    <t>КРАСКО</t>
  </si>
  <si>
    <t>Спирателен кран за въздух за шлаух ф8 (VHK2A-08F-08F)</t>
  </si>
  <si>
    <t>Спирателен кран за въздух ф6 (VHK2A-06F-06F)</t>
  </si>
  <si>
    <t>Спирателен кран за въздух Ф10 (VHK2A-10F-10F)</t>
  </si>
  <si>
    <t>Спирателен кран за въздух ф12 (VHK2A-12F-12F)</t>
  </si>
  <si>
    <t>Транспортна лента 1620x270x2</t>
  </si>
  <si>
    <t>CBP-0036</t>
  </si>
  <si>
    <t xml:space="preserve">К-т ножове и плочи квадрат 75x75mm </t>
  </si>
  <si>
    <t>за принтера охлаждане на мастило и разредетел Елемент на Пелтие TES1-12704, 4.3A, 14.6VDC, 36W</t>
  </si>
  <si>
    <t xml:space="preserve">SMC  MGPM16-150Z  </t>
  </si>
  <si>
    <t>CBP-0041</t>
  </si>
  <si>
    <t>SICK IQ04-1B5PSKRDS</t>
  </si>
  <si>
    <t>CM-0006</t>
  </si>
  <si>
    <t>Верига 08B-1 K1 MAEDLER 10500002 (5 метра)</t>
  </si>
  <si>
    <t>CBP-0042</t>
  </si>
  <si>
    <t>BAKTRADE</t>
  </si>
  <si>
    <t>SIEMENS 3RT2023-1AC20</t>
  </si>
  <si>
    <t>CBP-0043</t>
  </si>
  <si>
    <t>SIEMENS 3RV2011-0JA10 + допълнителни контактори (Странични и челни)</t>
  </si>
  <si>
    <t>5.565.0006 - NASTRO 2M8-U0-U-G10 FH A.C. MIS. 3985x150 MM</t>
  </si>
  <si>
    <t>CBP-0044</t>
  </si>
  <si>
    <t>211.320.159  Grooved pin 6x40</t>
  </si>
  <si>
    <t>Loctite 638 50 ml.</t>
  </si>
  <si>
    <t>Зъбно колело по модел за плочата на вариатора</t>
  </si>
  <si>
    <t>Кабел 3x0.5 - метър</t>
  </si>
  <si>
    <t>Удължени метчици M4</t>
  </si>
  <si>
    <t>FESTO DGP-40-550-PPV-A-B</t>
  </si>
  <si>
    <t>CBP-0045</t>
  </si>
  <si>
    <t>008406_Plate_Falu_Minigrip</t>
  </si>
  <si>
    <t>EURO YT 54730 Купа за боядисване YATO, червена</t>
  </si>
  <si>
    <t>Преход Ж-М 1/2-3/8</t>
  </si>
  <si>
    <t>ZANARDO DRC909+DRC909/P</t>
  </si>
  <si>
    <t>Elesa Ganter CFMQ.60-45-SH-6  425812</t>
  </si>
  <si>
    <t>Филтър регулатор 1/2 полуавт. конд. MAFR401-15A</t>
  </si>
  <si>
    <t>Демпфер — SA-1210</t>
  </si>
  <si>
    <t xml:space="preserve">Метчик за ремонтният комплект за резби М6 </t>
  </si>
  <si>
    <t>Мотор— Type BA71B4 ( 0.37 kW)</t>
  </si>
  <si>
    <t>Имбусен болт M3x10</t>
  </si>
  <si>
    <t>Имбусен болт M3x20</t>
  </si>
  <si>
    <t>Имбусен болт M3x30</t>
  </si>
  <si>
    <t>Имбусен болт M3X30</t>
  </si>
  <si>
    <t>Имбусен болт M3 x25</t>
  </si>
  <si>
    <t>Имбусен болт M3x35</t>
  </si>
  <si>
    <t>Имбусен болт M4x10</t>
  </si>
  <si>
    <t>Имбусен болт M4x16</t>
  </si>
  <si>
    <t>Имбусен болт M5x6</t>
  </si>
  <si>
    <t>Имбусен болт M4x20</t>
  </si>
  <si>
    <t>Имбусен болт M4x25</t>
  </si>
  <si>
    <t>Имбусен болт M5x10</t>
  </si>
  <si>
    <t>M5➖✖️3️⃣0️⃣</t>
  </si>
  <si>
    <t>M6➖✖️6️⃣</t>
  </si>
  <si>
    <t>M6➖✖️🔟</t>
  </si>
  <si>
    <t>M5➖✖️1️⃣6️⃣</t>
  </si>
  <si>
    <t>M6➖✖️2️⃣0️⃣</t>
  </si>
  <si>
    <t>M6➖✖️2️⃣5️⃣</t>
  </si>
  <si>
    <t>M6➖✖️3️⃣0️⃣</t>
  </si>
  <si>
    <t>M6➖✖️4️⃣0️⃣</t>
  </si>
  <si>
    <t>M8➖✖️1️⃣0️⃣</t>
  </si>
  <si>
    <t>M8➖✖️1️⃣6️⃣</t>
  </si>
  <si>
    <t>M8➖✖️2️⃣0️⃣</t>
  </si>
  <si>
    <t>M8➖✖️2️⃣5️⃣</t>
  </si>
  <si>
    <t>Гайка- М5 с резбоосигорител</t>
  </si>
  <si>
    <t xml:space="preserve">Гайки М5 </t>
  </si>
  <si>
    <t>Гайки М3 с резбоосигорител</t>
  </si>
  <si>
    <t xml:space="preserve">Гайки М3 </t>
  </si>
  <si>
    <t>Гайки М4 с резбоосигорител</t>
  </si>
  <si>
    <t xml:space="preserve">Гайки М6 с резбоосигурител </t>
  </si>
  <si>
    <t>Encoder - Kubler 8.5802.2143.1024 - SICK DFS60E-S1AA01024</t>
  </si>
  <si>
    <t>CBP-0046</t>
  </si>
  <si>
    <t>RESOLVER SHOP</t>
  </si>
  <si>
    <t>88342 1000 6 комплект вложки 6х1</t>
  </si>
  <si>
    <t>SICK DFS60E-S1AA01024</t>
  </si>
  <si>
    <t>CBP-0047</t>
  </si>
  <si>
    <t>4.000.0256 - ALBERO RULLO MOTORE NASTRO</t>
  </si>
  <si>
    <t>CBP-0048</t>
  </si>
  <si>
    <t>боя за ACM спрей</t>
  </si>
  <si>
    <t>FESTO Електромагнитен разпределител CPE14-M1BH-3GL-1/8</t>
  </si>
  <si>
    <t>CBP-0049 | 2535197134</t>
  </si>
  <si>
    <t>FESTO Електромагнитен разпределител CPE14-M1BH-5L-1/8</t>
  </si>
  <si>
    <t xml:space="preserve">Metal Work CMPC 2400400050CP </t>
  </si>
  <si>
    <t>CBP-0050</t>
  </si>
  <si>
    <t>0000039262 - 01-10-2025</t>
  </si>
  <si>
    <t>Perma pro LC500 SF04</t>
  </si>
  <si>
    <t>CBP-0051</t>
  </si>
  <si>
    <t>CBP-0052</t>
  </si>
  <si>
    <t>HTD 2000 8M 30 RPP</t>
  </si>
  <si>
    <t>CBP-0053</t>
  </si>
  <si>
    <t>AX23</t>
  </si>
  <si>
    <t>MGM (Bonfiglioli BE 71B 4)</t>
  </si>
  <si>
    <t>Цанка Ø6 — 1/4</t>
  </si>
  <si>
    <t>Краен изключвател Z-15GW22-B</t>
  </si>
  <si>
    <t>Shrack RT114024 - реле</t>
  </si>
  <si>
    <t>Bonfiglioli VF49 P1 14 P80B14 B3, COD- 200680128</t>
  </si>
  <si>
    <t>CBP-0061</t>
  </si>
  <si>
    <t>Транспортна лента Habasit F-5EXWT 05 3105x400 mm</t>
  </si>
  <si>
    <t>CBP-0075</t>
  </si>
  <si>
    <t>Лагер 203KRR2</t>
  </si>
  <si>
    <t>Вентилация EMMEBI</t>
  </si>
  <si>
    <t>Контактен спрей</t>
  </si>
  <si>
    <t>Електрически Двигател 0,37 kW тип AK71-4 (71B4) с фланец</t>
  </si>
  <si>
    <t>Лагер 6003</t>
  </si>
  <si>
    <t>Лагер 62201 2R1</t>
  </si>
  <si>
    <t>Метчици М5</t>
  </si>
  <si>
    <t>Малка четка Falu CT4.053.001</t>
  </si>
  <si>
    <t>CBP-0054</t>
  </si>
  <si>
    <t>FESTO - DSNU-25-125-PPV-A</t>
  </si>
  <si>
    <t>CBP-0060</t>
  </si>
  <si>
    <t>26/11/2025</t>
  </si>
  <si>
    <t>andy@skuytov.eu</t>
  </si>
  <si>
    <t xml:space="preserve">Continental XPB 2530 Ld/5VX 1000 L=L </t>
  </si>
  <si>
    <t>CBP-0057</t>
  </si>
  <si>
    <t xml:space="preserve">Щуцер — М25 х 1.5 </t>
  </si>
  <si>
    <t>електромотор SEIPEE JM 112MA 2 B5 (Bonfiglioli BE 112M 2 230/400-50 IP55 CLF B5)</t>
  </si>
  <si>
    <t>CBP-0055</t>
  </si>
  <si>
    <t>Части за Нагревателен Модул за Falu BV-2A, Serial No. 11383 (minigrip 6)</t>
  </si>
  <si>
    <t>CBP-0056</t>
  </si>
  <si>
    <t>Стъкло-тефлонова лента с лепилен слой 50mm x 0.115 x 30m</t>
  </si>
  <si>
    <t>CBP-0058</t>
  </si>
  <si>
    <t>Стъклотефлонова лента с лепилен слой 50mm по-тънко от 0.115 x 1x1m (за minigrip 6)</t>
  </si>
  <si>
    <t>Лента за навиване на топчетата ТР.ЛЕНТА HABASIT HAT-8P B=405, L=3263 ММ/</t>
  </si>
  <si>
    <t>5.500.0024 - FRENO FRIZIONE PNEUMATICO KB0400</t>
  </si>
  <si>
    <t>CBP-0059</t>
  </si>
  <si>
    <t>3.070.0016 - ASSIEME ORECCHIA INTERNA MD3000 + BRIDA TONDA</t>
  </si>
  <si>
    <t>3.070.0015 - ASSIEME ORECCHIA INTERNA MD3000 + BRIDA QUADRA</t>
  </si>
  <si>
    <t>Автоматично смазване на ACM NO. 064; 051; 065</t>
  </si>
  <si>
    <t>Филтри за вакуума на ACM (GIMATIC 3100015 CART-G1234-05) нов вариант FESTO 553143
VAF-DB-P-3/8-1/2</t>
  </si>
  <si>
    <t>4.130.0005 - CONTRAST RESISTANCE (LINEAR)</t>
  </si>
  <si>
    <t>Лагер  SKF 62203 2RS1</t>
  </si>
  <si>
    <t>dmitev@septona-bg.com</t>
  </si>
  <si>
    <t xml:space="preserve">Изолация за тръби — 22 / 10 </t>
  </si>
  <si>
    <t>Изолация затръби — ф 32 по 10</t>
  </si>
  <si>
    <t>Гофриран маркуч — ф140</t>
  </si>
  <si>
    <t>Gas pressure spring / 265.282.011 (Stabilus Lift-o-mat 095354 0150N 156/19 BD35)</t>
  </si>
  <si>
    <t>CBP-0066</t>
  </si>
  <si>
    <t>Ремък АХ 23</t>
  </si>
  <si>
    <t>CBP-0065</t>
  </si>
  <si>
    <t>Ремък 240 L</t>
  </si>
  <si>
    <t>FESTO DSBC-80-1000-PPVA-N3</t>
  </si>
  <si>
    <t>CBP-0062</t>
  </si>
  <si>
    <t>FESTO Въртящ фланец SNCS-80</t>
  </si>
  <si>
    <t>Въртящ фланец SNC-80 174387</t>
  </si>
  <si>
    <t>Съединители за Белини и Фалу — 037167</t>
  </si>
  <si>
    <t>CBP-0063</t>
  </si>
  <si>
    <t>Съединители за Белини и Фалу — 037167 - поръчани не от Falu</t>
  </si>
  <si>
    <t>Скоба двураменна - GD8005030</t>
  </si>
  <si>
    <t xml:space="preserve"> 3_045_0024</t>
  </si>
  <si>
    <t xml:space="preserve"> 4_015_0008</t>
  </si>
  <si>
    <t xml:space="preserve"> 5_045_0027</t>
  </si>
  <si>
    <t>Вакуумна вендуза VG.LB11, NBR, 50 Sh /2321838//</t>
  </si>
  <si>
    <t>CBP-0064</t>
  </si>
  <si>
    <t>Pump head - 7014-20 / MFLX07014-20</t>
  </si>
  <si>
    <t>Цилиндър SMC - CD85N20-300C-B</t>
  </si>
  <si>
    <t>Масльоки</t>
  </si>
  <si>
    <t>Цанги ф6 - 1/8 (SMC KQ2H06-01AS)</t>
  </si>
  <si>
    <t>Цанги ф6 - 1/8 на 90* (smc KQL06-01AS)</t>
  </si>
  <si>
    <t>Цанги ф8 - 1/4 (kq2h08-02as)</t>
  </si>
  <si>
    <t>Цанги ф8 - 1/4 на 90* kq2l08-02as</t>
  </si>
  <si>
    <t>Дискове за рязане 1мм/125 (EDE 5902658655128)</t>
  </si>
  <si>
    <t>Болт ф6 на 70</t>
  </si>
  <si>
    <t>Лагери KSO 16-PP</t>
  </si>
  <si>
    <t xml:space="preserve">4.090.1355 за ACM 13 </t>
  </si>
  <si>
    <t>Имбусен ключ 1,5 дълъг с ябълка</t>
  </si>
  <si>
    <t>Имбусен ключ 2 дълъг с ябълка</t>
  </si>
  <si>
    <t>Имбусен ключ 2,5 дълъг с ябълка</t>
  </si>
  <si>
    <t>Имбусен ключ 3 дълъг с ябълка</t>
  </si>
  <si>
    <t>Комплект имбусни ключове, дълги с ябълка</t>
  </si>
  <si>
    <t>Ключ гаечен раздвижен WADFOW, 6" (150 мм), 0 - 19 мм</t>
  </si>
  <si>
    <t>Винт фрезенков, DIN 7991, 10.9, Bl., M 3 x 20</t>
  </si>
  <si>
    <t>Винт фрезенков, DIN 7991, 10.9, Bl., M 3 x 25</t>
  </si>
  <si>
    <t>Винт с вътр. шестостен,DIN 912,12.9,Bl.,M 2,5x12</t>
  </si>
  <si>
    <t xml:space="preserve">MetalWork 2400250050XP </t>
  </si>
  <si>
    <t>CBP-0067</t>
  </si>
  <si>
    <t>MetalWork BIT 1/4 MR SR 0-8 BAR + Манометър</t>
  </si>
  <si>
    <t>S2X.972.524-A - Inserter Block 130.5x33 (P200) (280720251)</t>
  </si>
  <si>
    <t>CBP-0068</t>
  </si>
  <si>
    <t>S2X.972.528-A - Extension pusher 127.5mm - (280720253)</t>
  </si>
  <si>
    <t>S2X.972.524-A - но за 300 бр. клечки - Inserter Block  - (280720252)</t>
  </si>
  <si>
    <t>Metalwork 2600320035CP</t>
  </si>
  <si>
    <t>Metalwork 2600320050CP</t>
  </si>
  <si>
    <t>SICK - IH06-1B5PS-VWK</t>
  </si>
  <si>
    <t>SIEMENS 6EP1436-3BA00 (POWER SUPPLY SITOP)</t>
  </si>
  <si>
    <t>033565 - TASSWLLO PORTAMOLLE E REGOLAZIONE DX</t>
  </si>
  <si>
    <t>003486 - TASSWLLO PORTAMOLLE E REGOLAZIONE SX</t>
  </si>
  <si>
    <t>C080307 CONTITECH HTD 890 5M - B-13.5mm</t>
  </si>
  <si>
    <t>монтажен проводник 4 мм2 - черен - метър</t>
  </si>
  <si>
    <t>Led пура 1.5 метра захранена ат двете страни</t>
  </si>
  <si>
    <t>Metalwork 121A400030CP --&gt; FESTO DSBC-40-30-PPVA-N3</t>
  </si>
  <si>
    <t>Цилиндър FESTO ADVU-X-32-50-A-P-AN-S2-23K21  572037 R008</t>
  </si>
  <si>
    <t>CBP-0069</t>
  </si>
  <si>
    <t>стопори М6 х5</t>
  </si>
  <si>
    <t>стопори М6 х10</t>
  </si>
  <si>
    <t>Стъкло-Тефлонова лента с лепилен слой 50мм х 0,115 ролка</t>
  </si>
  <si>
    <t>Кабелен накрайник — игли 0,5 х 8мм</t>
  </si>
  <si>
    <t>Кабелен накрайник — игли 0,75 х 8</t>
  </si>
  <si>
    <t>Кабелен накрайник — игли 1.00 х 8</t>
  </si>
  <si>
    <t>Кабелен накрайник — игли1,5х 8мм</t>
  </si>
  <si>
    <t>Цанги ф6 х 1/4 прави kq2h06-02as</t>
  </si>
  <si>
    <t>Цанги Ф8 х 1/4</t>
  </si>
  <si>
    <t>Лист за ножовка х 300мм двустранна</t>
  </si>
  <si>
    <t xml:space="preserve">034982 - Lamination - 160er </t>
  </si>
  <si>
    <t>CBP-0070</t>
  </si>
  <si>
    <t>034985 - Lamination 2 - 160er</t>
  </si>
  <si>
    <t xml:space="preserve"> Гайки 5мм с резбоусигурител</t>
  </si>
  <si>
    <t>Гайки 6мм с резбоусигурител</t>
  </si>
  <si>
    <t>Гайки — 6мм обикновенни</t>
  </si>
  <si>
    <t>Болт с фрезенг М4 х 35</t>
  </si>
  <si>
    <t>Кабелен вход 25х1.5</t>
  </si>
  <si>
    <t>Гайки 8мм обикновенни</t>
  </si>
  <si>
    <t>Гайки 8мм с резбоусигорител</t>
  </si>
  <si>
    <t>Болт с фрезенг М4 х 45</t>
  </si>
  <si>
    <t>Болт М4 х45 вътрешен шестостен</t>
  </si>
  <si>
    <t>Фрезенг М6 х 20</t>
  </si>
  <si>
    <t>Фрезенг М6 х 25</t>
  </si>
  <si>
    <t>Фрезенг М6 х 30</t>
  </si>
  <si>
    <t>Вътрешен шестостен М6 х 16</t>
  </si>
  <si>
    <t>Вътрешен шестостен М6 х 20</t>
  </si>
  <si>
    <t>Вътрешен шестостен М6 х 35</t>
  </si>
  <si>
    <t>Вътрешен шестостен М6 х 45</t>
  </si>
  <si>
    <t>Шайби обикновенни ф5</t>
  </si>
  <si>
    <t>Шайби обикновенни ф8</t>
  </si>
  <si>
    <t xml:space="preserve">  Шайби дебелостонни ф5</t>
  </si>
  <si>
    <t>Шайби дебелостонни ф6</t>
  </si>
  <si>
    <t xml:space="preserve">Шайби дебелостонни ф8 </t>
  </si>
  <si>
    <t>Болт с вътрешен шестостен М6 х 80</t>
  </si>
  <si>
    <t>Болт с вътрешен шестостен М8 х 50</t>
  </si>
  <si>
    <t>Датчик — omron E2A-S08LN04-M1-B1</t>
  </si>
  <si>
    <t>Шлаух ф8 TU0805BU-100</t>
  </si>
  <si>
    <t>Болт—М2.5 х 12</t>
  </si>
  <si>
    <t>Чоп х ф5 х 50</t>
  </si>
  <si>
    <t xml:space="preserve">INA G 14-20-3 05-4 </t>
  </si>
  <si>
    <t>FESTO DSNU-25-100-PPV-A - 19248</t>
  </si>
  <si>
    <t>CBP-0071</t>
  </si>
  <si>
    <t>Винкел алуминиев 30х30 на 2 метра / дебелина 2мм</t>
  </si>
  <si>
    <t>Ремък Optibelt VB Z397Ld/10x375Li Z14 Antistatic ISO 1813</t>
  </si>
  <si>
    <t>CBP-0072</t>
  </si>
  <si>
    <t>Редуктор — MOTOVARIO — 6260078-09 /NMRV 040/ i 7,50</t>
  </si>
  <si>
    <t>Siemens 3RH1921-1HA22</t>
  </si>
  <si>
    <t>SICK—WTB8-P2211</t>
  </si>
  <si>
    <t>CBP-0074</t>
  </si>
  <si>
    <t>FAG 2205 2RS TVH</t>
  </si>
  <si>
    <t>CBP-0073</t>
  </si>
  <si>
    <t>Сферичен кран хромникел 1/2 МF</t>
  </si>
  <si>
    <t>Х ПРЪСТЕН Ф24,99Х3,53 NBR/</t>
  </si>
  <si>
    <t>100128 - SNR 6200 EE C3</t>
  </si>
  <si>
    <t>Редуктор / i-100 / вход-ф11 / изход-ф18</t>
  </si>
  <si>
    <t>Малки резци (макетен нож)</t>
  </si>
  <si>
    <t>(За обдухване на цеховете) TU1065BU-100  Полиуретанов шлаух, ф10/6.5ммр флуид: сгъстен въздух, вода, прозрачно-син цвят, ролка: 100m, мин. Радиус на огъване: 27mm</t>
  </si>
  <si>
    <t>ABB MS132-6.3 part no. 1SAM350000R1009</t>
  </si>
  <si>
    <t>CBP-0077</t>
  </si>
  <si>
    <t>ABB MS132‑HK1‑11, part no. 1SAM201901R1001</t>
  </si>
  <si>
    <t>100248_76x12,5x10 Шайба за ACM 12</t>
  </si>
  <si>
    <t>CBP-0078</t>
  </si>
  <si>
    <t>Мотор 2.2kW / 1430rpm / марка Seipee</t>
  </si>
  <si>
    <t>ESAM UNIJET 75 2V, Code. 019130 0.75 (https://esam.com.au/app/themes/tigmo-wp/images/UNIJET-75-2V-1-1.pdf)</t>
  </si>
  <si>
    <t>CBP-0079</t>
  </si>
  <si>
    <t>ESAM</t>
  </si>
  <si>
    <t>Редукторно масло Mobil Glygoyl /USDAH 1/-Food grade  или Mobile Gear SHC XMP150-220 туба 10/20 л.</t>
  </si>
  <si>
    <t>Ремък Optibelt VB B2478 Ld/ 17x2438 Li B96 за ACM 13</t>
  </si>
  <si>
    <t>Schneider Electric LC1D18BD - TeSys D - Контактор 18A 1F+1O 24VDC бобина, BC LPL</t>
  </si>
  <si>
    <t xml:space="preserve">Изолирбанд </t>
  </si>
  <si>
    <t>Камък 1/4 — 13 кован</t>
  </si>
  <si>
    <t>Камък 1/4 — 10 кован</t>
  </si>
  <si>
    <t>Лагер 6221/С3  -закупени</t>
  </si>
  <si>
    <t>Лагер 6315 2RS/C3 - закупен</t>
  </si>
  <si>
    <t>Лагер UK 209-Закупени</t>
  </si>
  <si>
    <t>Лагери UC 205 -zakupeni</t>
  </si>
  <si>
    <t>Лагери 61800-2RS</t>
  </si>
  <si>
    <t>Цилиндър — 31М2А025А180</t>
  </si>
  <si>
    <t>Днес:</t>
  </si>
  <si>
    <t>Управление за дебитомер Endress+Hauser Promag 300; Order code: 5H3B04-1908/0; Ext. ord. cd.:5H3B04-AAIBAEAFAAFDBS0BA1</t>
  </si>
  <si>
    <t>CW2</t>
  </si>
  <si>
    <t>WW-0014</t>
  </si>
  <si>
    <t>ENDRESS</t>
  </si>
  <si>
    <t>Управление за дебитомер Endress+Hauser PROMAG 10; Order Code: 10H15-1F0A1AA04AA</t>
  </si>
  <si>
    <t>BW3</t>
  </si>
  <si>
    <t>Батерия 12V за UPS PS5-12 (15515)</t>
  </si>
  <si>
    <t>BW2+BW3</t>
  </si>
  <si>
    <t>WW-0006</t>
  </si>
  <si>
    <t>ELIMEX</t>
  </si>
  <si>
    <t>Помпа ROVER 20 CE</t>
  </si>
  <si>
    <t>Lotion</t>
  </si>
  <si>
    <t>WW-0002</t>
  </si>
  <si>
    <t>vinarko</t>
  </si>
  <si>
    <t>Камък за малка тресчотка 8мм 1/4"</t>
  </si>
  <si>
    <t>Управление за дебитомер Endress+Hauser PROMAG 10; Order Code: 10H15-10F9/125; Ext. ord. cd.: 10H15-1F0A1AA0A4AA</t>
  </si>
  <si>
    <t>Детайл за проверка на равнинност - L&gt;=250mm</t>
  </si>
  <si>
    <t>Commarme 801-00-914  --&gt; 801-08-659</t>
  </si>
  <si>
    <t>WW-0009 | 239/1</t>
  </si>
  <si>
    <t>Commarme</t>
  </si>
  <si>
    <t>TNT 929540749</t>
  </si>
  <si>
    <t>comarme 801-10-660</t>
  </si>
  <si>
    <t>Лагер 6002 ZZ</t>
  </si>
  <si>
    <t>болт М3х6мм ФРЕЗЕНГ глава</t>
  </si>
  <si>
    <t>27/06/2025</t>
  </si>
  <si>
    <t>HOSHPT-000662602/26.06.25</t>
  </si>
  <si>
    <t>Чашка за средна вендуза на робота</t>
  </si>
  <si>
    <t>BW2</t>
  </si>
  <si>
    <t>Линеен лагер cpc MR 15WN SS</t>
  </si>
  <si>
    <t>Газов поялник</t>
  </si>
  <si>
    <t>Контактен спрей СУХ</t>
  </si>
  <si>
    <t>Материали и Консумативи</t>
  </si>
  <si>
    <t>Газов поялник (да не е марка VOREL)</t>
  </si>
  <si>
    <t>Разпределител FESTO CPE14-M1BH-5L-1/8</t>
  </si>
  <si>
    <t>CW1+CW2</t>
  </si>
  <si>
    <t>WW-0021</t>
  </si>
  <si>
    <t xml:space="preserve">GLS: 66953043230 </t>
  </si>
  <si>
    <t>Amotek 165011014 Spacer BR. 10,5-14-2</t>
  </si>
  <si>
    <t>WW-0007 | 410704072</t>
  </si>
  <si>
    <t>AMOTEK</t>
  </si>
  <si>
    <t>Amotek 165011019 Lever</t>
  </si>
  <si>
    <t>Amotek T11181994 Spacer</t>
  </si>
  <si>
    <t>18A02486</t>
  </si>
  <si>
    <t>WW-0008</t>
  </si>
  <si>
    <t>CB PACKAGING</t>
  </si>
  <si>
    <t>DHL 5335687626</t>
  </si>
  <si>
    <t>1177/2025_12-06-2025</t>
  </si>
  <si>
    <t>CB Leonardo, чертеж: GBL21433, Позиция: 05C - BG202330</t>
  </si>
  <si>
    <t>CB Leonardo, чертеж: GBL21433, Позиция: 15 - 20A00471</t>
  </si>
  <si>
    <t xml:space="preserve">CB Leonardo, чертеж: GBL21433, Позиция: 12 - 07A05067 </t>
  </si>
  <si>
    <t>CB Leonardo, чертеж: GBL21433, Позиция: 50. 18A02485</t>
  </si>
  <si>
    <t xml:space="preserve">CB Leonardo, чертеж: GBL21433, Позиция: 10. 07A05065 </t>
  </si>
  <si>
    <t xml:space="preserve">CB Leonardo, чертеж: GBL21433, Позиция: 11       07A05066        </t>
  </si>
  <si>
    <t>CB Leonardo, чертеж: GBL21433, Позиция: 44      07A05090</t>
  </si>
  <si>
    <t xml:space="preserve">CB Leonardo, чертеж: GBL21433, Позиция: 45      07A05091 </t>
  </si>
  <si>
    <t xml:space="preserve">CB Leonardo, чертеж: GBL21433, Позиция: 46      07A06290        </t>
  </si>
  <si>
    <t xml:space="preserve">CB Leonardo, чертеж: GBL21433, Позиция: 31C      CADN2020IPA     </t>
  </si>
  <si>
    <t xml:space="preserve">CB Leonardo, чертеж: GBL21433, Позиция: 45C      VCRM5X6X20      </t>
  </si>
  <si>
    <t xml:space="preserve">CB Leonardo, чертеж: GBL21433, Позиция: 48C      SNBRM6          </t>
  </si>
  <si>
    <t xml:space="preserve">CB Leonardo, чертеж: GBL21433, Позиция: 106      27A02269        </t>
  </si>
  <si>
    <t xml:space="preserve">CB Leonardo, чертеж: GBL21433, Позиция: 97      11A00478        </t>
  </si>
  <si>
    <t xml:space="preserve">CB Leonardo, чертеж: GBL21433, Позиция: 27      49A10094 </t>
  </si>
  <si>
    <t xml:space="preserve">CB Leonardo, чертеж: GBL21433, Позиция: 36      59A03137  </t>
  </si>
  <si>
    <t xml:space="preserve">CB Leonardo, чертеж: GBL21433, Позиция: 24      49A10096        </t>
  </si>
  <si>
    <t>CB Leonardo, чертеж: GBL21433, Позиция: 40      59A04116</t>
  </si>
  <si>
    <t xml:space="preserve">CB Leonardo, чертеж: GBL21433, Позиция: 41      49A11771        </t>
  </si>
  <si>
    <t xml:space="preserve">CB Leonardo, чертеж: GBL21433, Позиция: 38      59B11528        </t>
  </si>
  <si>
    <t xml:space="preserve">CB Leonardo, чертеж: GBL21433, Позиция: 14C      RE24032820     </t>
  </si>
  <si>
    <t xml:space="preserve">CB Leonardo, чертеж: GBL21433, Позиция: 75C      NCS24370062 </t>
  </si>
  <si>
    <t>CB Leonardo, чертеж: GBL21433, Позиция: 76C      ND24340118-400</t>
  </si>
  <si>
    <t>Транспортна лента 4270x170mm K10x6 РЕЛЕФ</t>
  </si>
  <si>
    <t>WW-0013</t>
  </si>
  <si>
    <t>1000190488 - 01-08-2025</t>
  </si>
  <si>
    <t>Транспортна лента 30014489 - 15900x200 K10</t>
  </si>
  <si>
    <t>Транспортен ремък - ГОРЕН 30022444 - 1523x50mm K10</t>
  </si>
  <si>
    <t>Транспортен ремък - ДОЛЕН 30022445 - 1550x50mm K10 РЕЛЕФ</t>
  </si>
  <si>
    <t>COMARME GEM F470 - Fig. 258-09, Position 36, 801-00-063</t>
  </si>
  <si>
    <t>WW-0026</t>
  </si>
  <si>
    <t xml:space="preserve">Нож челюсти CB Leonardo Чертеж: GBL21433  Код: 58A00052 Позиция: 028 </t>
  </si>
  <si>
    <t>Ъглошлайф Ф125 (подсилена серия)</t>
  </si>
  <si>
    <t>Еластомер за съединителя на челюстите	GR24</t>
  </si>
  <si>
    <t>Тефлон самозалепващ 10M2</t>
  </si>
  <si>
    <t>WW-0005</t>
  </si>
  <si>
    <t>Редуктор VARVEL SRS04015G318  i=15, S/No. 0000534896</t>
  </si>
  <si>
    <t>WW-0001/#3079</t>
  </si>
  <si>
    <t>iow</t>
  </si>
  <si>
    <t>IBC накрайник с женска резба с въртяща гайка с опашка за маркуч - IBCF60HT125-SW, IBC резба - S60x6,	DN-32</t>
  </si>
  <si>
    <t>markuchite.com</t>
  </si>
  <si>
    <t>Стъклен предпазител 5x20 mm 2A 250V (TME 0217002.MXP)</t>
  </si>
  <si>
    <t>UPS  - 1Z3A48946823387948</t>
  </si>
  <si>
    <t xml:space="preserve">Комплект за финна механика </t>
  </si>
  <si>
    <t>Режеща пластина OLFA ABB-50 малки</t>
  </si>
  <si>
    <t>Лепило Loctite 401</t>
  </si>
  <si>
    <t>Патрон секретен</t>
  </si>
  <si>
    <t>Ключ звездогаечен 10 мм</t>
  </si>
  <si>
    <t xml:space="preserve">Сензор за ниво на течности с поплавък М20 ( </t>
  </si>
  <si>
    <t>Водач за лагер (релса) KWVE20-B-V1-G3 - Линейна направляваща TKVD15-G3 INA 2000mm | Линейна направляваща WS20TKVD20EWL-G3/1010mm INA</t>
  </si>
  <si>
    <t>Hendi</t>
  </si>
  <si>
    <t>Нож за отвора на фолиото (Punch) 20x50.5mm</t>
  </si>
  <si>
    <t>WW-0012</t>
  </si>
  <si>
    <t>Spilker</t>
  </si>
  <si>
    <t>Транспортен ремък - ГОРЕН СРЕДЕН	1490x30mm - K10 - 30010127</t>
  </si>
  <si>
    <t>Транспортен ремък - ДОЛЕН	5530x24mm - 30011914</t>
  </si>
  <si>
    <t>Транспортна лента	860x110mm - К6 РЕЛЕФ - 30001336</t>
  </si>
  <si>
    <t>CW1</t>
  </si>
  <si>
    <t>Лагер UCF202</t>
  </si>
  <si>
    <t>Линеен лагер HIWIN MGW15CC 1605AD-30000 (MGW15CZ0HM) (HIWIN MGW15C ZOH)</t>
  </si>
  <si>
    <t>Комплект избивачи 3-8мм</t>
  </si>
  <si>
    <t>Ключ Shneider Electric XA2ED21X2A</t>
  </si>
  <si>
    <t>Инвертор Comander C ~400V C200-34 00056 A101 00AB100-2,2 kW</t>
  </si>
  <si>
    <t>Потенциометър  XB5AD912R10K</t>
  </si>
  <si>
    <t>Автоматичен предпазител Shneider  Acti9 iK60N, 3P, 16 A,</t>
  </si>
  <si>
    <t>Свредло за метал 3,5мм</t>
  </si>
  <si>
    <t>LED прожектор 10W</t>
  </si>
  <si>
    <t>Нож за челюстите AMOTEK R168 Dx - T10855960 Scrap knife</t>
  </si>
  <si>
    <t>Ключ гаечен раздвижен 250мм</t>
  </si>
  <si>
    <t>Изолирбанд черни</t>
  </si>
  <si>
    <t xml:space="preserve">96152-A - Уплътнение за помпа ARO PD10A-BAP-AAA </t>
  </si>
  <si>
    <t>SQ156948</t>
  </si>
  <si>
    <t xml:space="preserve">93278-A - Уплътнение за помпа ARO PD10A-BAP-AAA </t>
  </si>
  <si>
    <t>Кабел ШКПЛ (H05RR-F) метър</t>
  </si>
  <si>
    <t>Кабел H07V-K 1.5mm2 - метър</t>
  </si>
  <si>
    <t>Шарнир BRM 06-00-501  14885</t>
  </si>
  <si>
    <t>H07V-K 2.5mm2 - метър</t>
  </si>
  <si>
    <t>Пистолет за въздух - дълга човка  FESTO LSP-1/4-D + LPZ-RG-150-B</t>
  </si>
  <si>
    <t>Болт М6х60мм A2-70 имбусен</t>
  </si>
  <si>
    <t>Въздуховод Ф100mm - 2m</t>
  </si>
  <si>
    <t>Въздуховод Ф100mm - 1m</t>
  </si>
  <si>
    <t>Въздуховод Ф100mm - коляно 90 градуса</t>
  </si>
  <si>
    <t>Вал за транспортна лента L=189.25 D1=19, D2=22, D3=18</t>
  </si>
  <si>
    <t>лагер 6002 2RS</t>
  </si>
  <si>
    <t>Детайл за COMARME GEM F470 - Fig. 258-09, Position 36, 801-00-063  --&gt; 801-04-806</t>
  </si>
  <si>
    <t>Детайл за COMARME Т22 - Fig. 203-01, Position 8, 801-00-113 --&gt; 801-05-172 (KIT) 13=50</t>
  </si>
  <si>
    <t>Накрайник за тресчотка преход 1/2 женско към 3/4 мъжко - EURO YT 1356</t>
  </si>
  <si>
    <t>Комплект битове с държач Berner 156540</t>
  </si>
  <si>
    <t>Bag keeping finger left T10496197</t>
  </si>
  <si>
    <t>Синхронен ремък 1000DH x 19mm</t>
  </si>
  <si>
    <t>Bag keeping finger left T10496195</t>
  </si>
  <si>
    <t>Тефлон БЕЗ залепващ слой 10м2</t>
  </si>
  <si>
    <t>Тефлон на ролка - 0,115х50мм - 30m</t>
  </si>
  <si>
    <t>LED Панел 60x60 4000K</t>
  </si>
  <si>
    <t>Катинар 38мм WF WPD5540</t>
  </si>
  <si>
    <t>Нож за челюстите на CB - 58A00052</t>
  </si>
  <si>
    <t>Комплект челюсти на пакетажа (горна + долна)</t>
  </si>
  <si>
    <t>Kansan</t>
  </si>
  <si>
    <t>CB - 35B00919</t>
  </si>
  <si>
    <t>Оранжево валяче A9026 за етикиращ апарат</t>
  </si>
  <si>
    <t>ServicePro</t>
  </si>
  <si>
    <t>Бит държач, гъвкав, FQBH Whirlpower, 1/4" C6.3 x 300 мм</t>
  </si>
  <si>
    <t>Редуктор 1/10 на CB 64A03529</t>
  </si>
  <si>
    <t>Апарат за тиксо T22</t>
  </si>
  <si>
    <t>Amotek 166011007 Shaft</t>
  </si>
  <si>
    <t>Управление за Process Master 300; Part no: D674A906U01</t>
  </si>
  <si>
    <t>ELECTRIS (ABB)</t>
  </si>
  <si>
    <t>Съединител GSP 30  - Kansan 22013857</t>
  </si>
  <si>
    <t>Съединител GSP 30 Kansan - 22010993</t>
  </si>
  <si>
    <t>Палцов съединител 16/19.9mm D=40mm L=65 GSP 20</t>
  </si>
  <si>
    <t>Инвертор с табло за металдетектор (по задание от Ивайло Илиев)</t>
  </si>
  <si>
    <t>Трифазен електромотор VALSAMOGGIA M10630254B5, Type 63C, poles: 4, IM:B5, 0.25 KW</t>
  </si>
  <si>
    <t>винт М5х10 А2, фрезенк глава, вътрешен шестостен</t>
  </si>
  <si>
    <t>Термоглава М30 аналогова</t>
  </si>
  <si>
    <t>Детайл за COMARME GEM F470 - Fig. 258-07, Position 09, 801-11-606</t>
  </si>
  <si>
    <t>Детайл за COMARME GEM F470 - Fig. 258-07, Position 12, 851-00-323</t>
  </si>
  <si>
    <t>Детайл за COMARME GEM F470 - Fig. 258-07, Position 13, 801-10-511</t>
  </si>
  <si>
    <t>Детайл за COMARME GEM F470 - Fig. 258-07, Position 14, 801-12-564</t>
  </si>
  <si>
    <t>Детайл за COMARME GEM F470 - Fig. 258-07, Position 40, 801-11-605</t>
  </si>
  <si>
    <t>Детайл за COMARME GEM F470 - Fig. 258-06, Position 47, 801-11-156</t>
  </si>
  <si>
    <t>Детайл за COMARME GEM F470 - Fig. 258-06, Position 48, 801-11-170</t>
  </si>
  <si>
    <t>Детайл за COMARME GEM F470 - Fig. 258-04, Position 11, 801-10-821</t>
  </si>
  <si>
    <t>Детайл за COMARME GEM F470 - Fig. 258-04, Position 31, 801-10-820</t>
  </si>
  <si>
    <t>Винт за регулаж на височианта на челюстите на CW1 (по-скица от Д. Митев)</t>
  </si>
  <si>
    <t>LED Пура T8 60 cm</t>
  </si>
  <si>
    <t>Боя - бяла 1кг.</t>
  </si>
  <si>
    <t>#WW-0010</t>
  </si>
  <si>
    <t>Боя бяла - спрей</t>
  </si>
  <si>
    <t>Боя сива RAL 7001 - спрей</t>
  </si>
  <si>
    <t>Боя сива RAL 7001 - 1кг.</t>
  </si>
  <si>
    <t>Бояджийски четки 50мм</t>
  </si>
  <si>
    <t>Разредител за боя 1л.</t>
  </si>
  <si>
    <t>Боркорона за метал 4-32mm ( същуствуват от ф16) Степенчато свредло TOTAL INDUSTRIAL, HSS, Ø 6 - 38 мм</t>
  </si>
  <si>
    <t>Safety Relay Wieland SNO 1012K-A</t>
  </si>
  <si>
    <t>Накрайник за тресчотка преход 1/4 женско към 1/2 мъжко</t>
  </si>
  <si>
    <t>Тръба-муфа СИВА Ф110мм100cm</t>
  </si>
  <si>
    <t>Муфа Ф110мм СИВА</t>
  </si>
  <si>
    <t>Правоъгълна тръба 60х40х4-4,5мм НЕРЪЖДАЕМА 100cm</t>
  </si>
  <si>
    <t xml:space="preserve"> 22004306 - Ø40*15mm VULKOLON JAW STOPPER </t>
  </si>
  <si>
    <t xml:space="preserve">21150076 - BELLOWS VERTICAL LEVEL ADJUSTMENT PLATE </t>
  </si>
  <si>
    <t>Луфтомерни пластини 26 броя 0.03 - 1.0 mm (0.03 mm до 0.1 mm през 0.01 mm 0.10 mm до 1.0 mm през 0.05 mm)</t>
  </si>
  <si>
    <t xml:space="preserve"> 22009727 - GIJON BELLOWS HEIGHT ADJUSTMENT GIJON</t>
  </si>
  <si>
    <t xml:space="preserve">22017855 - BELLOWS GIJON CONTRA PART </t>
  </si>
  <si>
    <t xml:space="preserve">Лагер S6002 2RS </t>
  </si>
  <si>
    <t>Лагер SNR UCF 202</t>
  </si>
  <si>
    <t xml:space="preserve">22004294 - BAKALITE VOLAN OUTER PATTERN </t>
  </si>
  <si>
    <t xml:space="preserve"> 21050243 - M4 52 THREAD HELICAL ANGLE 19.9 Thread (RIGHT)</t>
  </si>
  <si>
    <t xml:space="preserve">21150077 - ALUMINIUM 7075 T6 BELLOWS GIJON TAPER BUSHESH </t>
  </si>
  <si>
    <t>22013290 - UPPER JAW FIBEr DISC</t>
  </si>
  <si>
    <t xml:space="preserve">22010856 - 35*40*280mm 1040 Bottom Jaw Unit </t>
  </si>
  <si>
    <t xml:space="preserve">22010858 - 35*40*280mm 1040 Upper Jaw Unit </t>
  </si>
  <si>
    <t>22015224 - SAPRO TYPE UPPER JAW WITH PIN (H1.5mm-B3mm-R10)</t>
  </si>
  <si>
    <t>RV 5.5-6 ИЗОЛИРАНА КАБЕЛНА ОБУВКА</t>
  </si>
  <si>
    <t>22015224 - SAPRO TYPE BOTTOM JAW WITH PIN (H1.5mm-B3mm-R10)</t>
  </si>
  <si>
    <t>Наковалня за ножа на стека Kansan код: 21090612</t>
  </si>
  <si>
    <t>Нож за челюстите CB Leonardo 58A00052</t>
  </si>
  <si>
    <t>Наковалня за ножа на стека</t>
  </si>
  <si>
    <t>Крушка DL1 BEB telemanique INCANDESCENT 7W 24VAC/DC BA15D
DL1BEB</t>
  </si>
  <si>
    <t xml:space="preserve">Наковалня за ножа </t>
  </si>
  <si>
    <t xml:space="preserve">Комплект магнити наковалнята за ножа на отвора </t>
  </si>
  <si>
    <t>Енкодер Omron E6C2-CWZ1X</t>
  </si>
  <si>
    <t>Клема WK 6/U</t>
  </si>
  <si>
    <t>Клема WKN 10/U ( https://eshop.wieland-electric.com/products/en/feed-through-terminal-wkn-10-u--v0/57.510.0155.0?locale=en#technical)</t>
  </si>
  <si>
    <t>Наковалня CW2 - по етикет на KANSAN: 21090588 - 115*35*395mm 440 M</t>
  </si>
  <si>
    <t>WW-0003</t>
  </si>
  <si>
    <t>Цанга Ф4мм - М5 - FESTO NPQM-DK-M5-Q4-P10</t>
  </si>
  <si>
    <t>WW-0029</t>
  </si>
  <si>
    <t>Ключалка със система мастър ключ за метален шкаф</t>
  </si>
  <si>
    <t>Уплътнение за бътерфлай кран Alfa Laval 2" 1276</t>
  </si>
  <si>
    <t>Уплътнение за бътерфлай кран AWH DN32 1/2 A</t>
  </si>
  <si>
    <t>Въздушен филтър за прахосмукачка KARCHER WD 6 P</t>
  </si>
  <si>
    <t>Дейта ЕООД</t>
  </si>
  <si>
    <t>Дюза за сухо и мокро почистване за прахосмукачка KARCHER WD 6 P</t>
  </si>
  <si>
    <t>Комплект тръби за прахосмукачка KARCHER WD 6 P</t>
  </si>
  <si>
    <t>Дюза Nordson Saturn MiniBlue II SureBead Ф0,41mm - 1121475</t>
  </si>
  <si>
    <t>WW-0010</t>
  </si>
  <si>
    <t>Bis Engineering Ltd</t>
  </si>
  <si>
    <t>Сиви ролки с лагери със сини капачки. 3.010.50.1 Plastic Roll Head ф50x1.5 ;A=27.5 mm ; B=19,5 mm ; D=ф 50mm ; d=ф 47,5 mm.</t>
  </si>
  <si>
    <t>Техноком ко</t>
  </si>
  <si>
    <t>НОЖ на стек - 47х4х220мм</t>
  </si>
  <si>
    <t>НОЖ на стек - 47х5х220мм</t>
  </si>
  <si>
    <t>INOXPA DN 50/7 - уплътнение за бътерфлай кран към фланец 1274</t>
  </si>
  <si>
    <t>ЗЪБНО КОЛЕЛО - задвижно (режеща машина)	за НОЖ на стека (по модел) IMG_1264</t>
  </si>
  <si>
    <t>(Снимка) Зъбно колело задвижващо нареждащите вилици на стека</t>
  </si>
  <si>
    <t>WW-0023</t>
  </si>
  <si>
    <t>Осигурителен пръстен за отвор Ф32</t>
  </si>
  <si>
    <t xml:space="preserve">COMARME GEM F470 - Fig. 258-10, Position 8, </t>
  </si>
  <si>
    <t>COMARME GEM F470 - Fig. 258-10, Position 8, 801-00-913</t>
  </si>
  <si>
    <t>COMARME GEM F470 - Fig. 258-10, Position 10, 801-00-919</t>
  </si>
  <si>
    <t>COMARME GEM F470 - Fig. 258-10, Position 11, Code 801-10-660</t>
  </si>
  <si>
    <t>Нож за отвора на фолиото (Punch) 20x30mm</t>
  </si>
  <si>
    <t>COMARME GEM F470 - Fig. 258-10, Position 13, Code 851-01-359 - Шайба Ф23хФ8,2мм h=0.7mm</t>
  </si>
  <si>
    <t>COMARME GEM F470 - Fig. 258-10, Position 15, Code 851-03-905</t>
  </si>
  <si>
    <t>Цанга Ф12мм х 1/2 - FESTO QS-G1/2-12</t>
  </si>
  <si>
    <t>18/09/2025</t>
  </si>
  <si>
    <t>Цанга Ф12мм х 3/8 - FESTO QS-G3/8-12</t>
  </si>
  <si>
    <t>Кран пневматичен Ж-Ж х 1/2 - FESTO QH-1/2</t>
  </si>
  <si>
    <t>Кран пневматичен Ж-Ж х 3/8 - FESTO QH-3/8</t>
  </si>
  <si>
    <t>Кран пневматичен Ж-Ж х 1/4 - FESTO QH-1/4</t>
  </si>
  <si>
    <t>Пневматична редукция Ф12-Ф10мм - QS-12-10</t>
  </si>
  <si>
    <t>Schneider GZ1E07</t>
  </si>
  <si>
    <t>WW-0011</t>
  </si>
  <si>
    <t>Schneider LP1K0610BD</t>
  </si>
  <si>
    <t>Schneider XB5AL73415</t>
  </si>
  <si>
    <t>Пневматична редукция Ф10-Ф8мм - FESTO QS-10-8</t>
  </si>
  <si>
    <t>Пневматична редукция Ф16-Ф12мм</t>
  </si>
  <si>
    <t>Пневматична редукция Ф16-Ф10мм</t>
  </si>
  <si>
    <t>MEGADYNE 900H</t>
  </si>
  <si>
    <t>"О" пръстен 10х6х2мм</t>
  </si>
  <si>
    <t>Семеринг TC 30-40-7-31</t>
  </si>
  <si>
    <t>WW-0016</t>
  </si>
  <si>
    <t>Семеринг TC 30-40-7-28</t>
  </si>
  <si>
    <t>Filter Cartridge - Item No.: 0892478, Size: 10", Вносител: Хидростаб ООД</t>
  </si>
  <si>
    <t>WW-0015</t>
  </si>
  <si>
    <t>Хидростаб ООД</t>
  </si>
  <si>
    <t>Комплект за ремонт на резби M5-M12 (пружини - пример: https://www.onlinemashini.bg/komplekt-za-remont-na-rezbi-geko/61913 )</t>
  </si>
  <si>
    <t>Синхронен ремък 400Hx19mm (OPTIBELT 400 H 075)</t>
  </si>
  <si>
    <t>Грес на флакон</t>
  </si>
  <si>
    <t>Wurth HHS 2000</t>
  </si>
  <si>
    <t>Редуктор TRAMEC Type: XC 63; Ratio: 7,5; Code: 2163610004 16A001; Spec. B3</t>
  </si>
  <si>
    <t>Синxронна шайба 16-5M09 I22R</t>
  </si>
  <si>
    <t>Детайл за COMARME Т22 - Fig. 203-12, Position 16, 801-10-856</t>
  </si>
  <si>
    <t>Ключ звездогаечен 15мм</t>
  </si>
  <si>
    <t>Ключ звездогаечен 10мм</t>
  </si>
  <si>
    <t>Редуктор NMRV040 PAM 140/11 R 1:10</t>
  </si>
  <si>
    <t>Лагер 6001 2RS</t>
  </si>
  <si>
    <t>WW-0022</t>
  </si>
  <si>
    <t>1000007525 - 25/07/2025</t>
  </si>
  <si>
    <t>Нож за челюстите BW3 AMOTEK PB166 WWM Dx - Чертеж: 166011000 DG Позиция: 166011011</t>
  </si>
  <si>
    <t>WW-0027</t>
  </si>
  <si>
    <t>AMOTEK PB166 WWM Dx - стойка за нож - Чертеж: 166011000 DG Позиция: 166011016</t>
  </si>
  <si>
    <t xml:space="preserve">AMOTEK PB166 WWM Dx Крепежен елемент за стойката на ножа - Чертеж: 166011000 DG Позиция: 142011023 </t>
  </si>
  <si>
    <t>AMOTEK PB166 WWM Dx - Пас болт за ножа - Чертеж: 166011000 DG Позиция: 677012 Описание: Fitting screw D 8x16-M6 ISO 7379-St12.9</t>
  </si>
  <si>
    <t>Mobil DTE  FM 320 - 20 литра</t>
  </si>
  <si>
    <t>WW-0017</t>
  </si>
  <si>
    <t>Пневматичен цилиндър FESTO DSNU-16-25-PPV-A</t>
  </si>
  <si>
    <t>Редуктурно масло Mobil DTE FM 320 5л.</t>
  </si>
  <si>
    <t>Шприц за масло</t>
  </si>
  <si>
    <t xml:space="preserve">Водна помпа за адиабатен охладител IDASTO </t>
  </si>
  <si>
    <t>Клапан за изпразване на адиабатен охладител IDASTO</t>
  </si>
  <si>
    <t>Охладителни пити за адиабатен охладител IDASTO</t>
  </si>
  <si>
    <t>НОЖ на стека	41х3,5х129мм - КОД kansan: 21090509</t>
  </si>
  <si>
    <t>WW-0019</t>
  </si>
  <si>
    <t>Транспортна лента 5920x180мм К6 РЕЛЕФ</t>
  </si>
  <si>
    <t>WW-0025</t>
  </si>
  <si>
    <t>Транспортна лента 15900x200 K10</t>
  </si>
  <si>
    <t>Еластомер GR24 за съединителя на челюстите на CB Packing Leonardo</t>
  </si>
  <si>
    <t>Транспортен ремък 4300x24mm</t>
  </si>
  <si>
    <t>Транспортен ремък 5530x24mm</t>
  </si>
  <si>
    <t>Транспортен ремък 1490x30mm - K10</t>
  </si>
  <si>
    <t>CW AMOTEK R168 Dx Верига на избутчача	T11010421 - 08B - комплект</t>
  </si>
  <si>
    <t>CW AMOTEK R168 Dx Зъбно колело - задвижно (Motor pinion) на избутвача	Т10556749</t>
  </si>
  <si>
    <t>CW AMOTEK R168 Dx Зъбно колело - (Pinion gear) на избутвача	T10851308 - Z 18 1/2x5/16</t>
  </si>
  <si>
    <t>CW AMOTEK R168 Dx Щифт - Chain shaft R168	Т11011916</t>
  </si>
  <si>
    <t>CW AMOTEK R168 Dx Водач за веригата на избутвача - Pusher guide chain	T11010826</t>
  </si>
  <si>
    <t>Пневматичен цилиндър	FESTO - ADN-25-60-A-P-A</t>
  </si>
  <si>
    <t>Пневматичен цилиндър	FESTO - DFM-25-50-P-A-GF</t>
  </si>
  <si>
    <t>Лагер 6008.EE/C3</t>
  </si>
  <si>
    <t>Лагер UCFB204</t>
  </si>
  <si>
    <t>Линеен лагер cpc 15WN SS B+0 N X224 -3</t>
  </si>
  <si>
    <t>Лагер 6207.ZZ</t>
  </si>
  <si>
    <t>Лагер 6204EE</t>
  </si>
  <si>
    <t>Лагер 61904-2Z-HLC</t>
  </si>
  <si>
    <t>Лагер 61804-2RS</t>
  </si>
  <si>
    <t>Лагер 6802-2RS</t>
  </si>
  <si>
    <t>Лагер 61801-2RS</t>
  </si>
  <si>
    <t>29/07/2025</t>
  </si>
  <si>
    <t>Синхронен ремък 255H x 19mm</t>
  </si>
  <si>
    <t xml:space="preserve">Синхронен ремък 480DH x 19mm </t>
  </si>
  <si>
    <t>Синхронен ремък 1100DH x 24mm</t>
  </si>
  <si>
    <t>Синхронek ремък S14N2590 Super Torque x 38mm (GoodYear)</t>
  </si>
  <si>
    <t>камък 8мм. на 1/4</t>
  </si>
  <si>
    <t>Инвертор Nidec M400-012 00042 A 0.75kW или аналогичен</t>
  </si>
  <si>
    <t>Редуктор MOTOVARIO 67119595-001 NMRV 050 i=20.00</t>
  </si>
  <si>
    <t>Свредло за метал 4,0мм</t>
  </si>
  <si>
    <t>Свредло за метал  4,5мм</t>
  </si>
  <si>
    <t>Свредло за метал 5.0мм</t>
  </si>
  <si>
    <t>AG 440 P LE - мембрана за обратна осмоза</t>
  </si>
  <si>
    <t>WW-0018</t>
  </si>
  <si>
    <t>Червено/Бяла лента за ограждане</t>
  </si>
  <si>
    <t>Имбусен Болт A2 M10x40x1.25 (ISO 12474)</t>
  </si>
  <si>
    <t>WW-0020</t>
  </si>
  <si>
    <t xml:space="preserve">Гайка A2 M10x1.25 </t>
  </si>
  <si>
    <t>Ръчна телена четка</t>
  </si>
  <si>
    <t>Anderson конектор 50А 600V - комплект М и Ж</t>
  </si>
  <si>
    <t>Фотоелектричен сензор Omron E3Z-LS66</t>
  </si>
  <si>
    <t>Ключ звездогаечен 13мм</t>
  </si>
  <si>
    <t>Ключ имнусен 5мм</t>
  </si>
  <si>
    <t>Ключ имбусен 6мм</t>
  </si>
  <si>
    <t>Ключ имбусен 4мм</t>
  </si>
  <si>
    <t>Сервомотор KOLLMORGEN AKM24C-AC9NCA00</t>
  </si>
  <si>
    <t>BIBUS</t>
  </si>
  <si>
    <t>Кутия eлектроди OK 61.30 2mm</t>
  </si>
  <si>
    <t>Камартон</t>
  </si>
  <si>
    <t>Кутия eлектроди OK 46 3mm</t>
  </si>
  <si>
    <t>Диск за рязане на метал Ф125х1,5мм</t>
  </si>
  <si>
    <t>Диск за шлайфане на метал Ф125мм</t>
  </si>
  <si>
    <t>Ламелна шкурка А80 Ф125мм</t>
  </si>
  <si>
    <t>Ламелна шкурка P120 Ф125мм</t>
  </si>
  <si>
    <t>Пневматичен цилиндър SMC CJ2KB16-20Z</t>
  </si>
  <si>
    <t>SMC</t>
  </si>
  <si>
    <t>1520x230mm - K4x6 РЕЛЕФ</t>
  </si>
  <si>
    <t>1620x230mm - K4x6 РЕЛЕФ - 30012492</t>
  </si>
  <si>
    <t>input roll conveyer right позиция 8 от изпратения чертеж</t>
  </si>
  <si>
    <t>output roll conveyer right позиция 9 от изпратения чертеж</t>
  </si>
  <si>
    <t>Зъбно колело-позиция 7 от чертежа (стр.114 Wtulka_2_KANSAN ACURAPACK 140.pdf)</t>
  </si>
  <si>
    <t>Зъбно колело-позиция 8 от чертежа (стр.114 Wtulka_2_KANSAN ACURAPACK 140.pdf)</t>
  </si>
  <si>
    <t>Лабораторна пръскалка 500мл. (за миене на принтерите)</t>
  </si>
  <si>
    <t>Дионис елена</t>
  </si>
  <si>
    <t>Болт фрезенк глава за имбусен ключ М4х10мм</t>
  </si>
  <si>
    <t>SICK - 6026473 - IQ80-50BPP-KC0</t>
  </si>
  <si>
    <t>WW-0024</t>
  </si>
  <si>
    <t>21/08/2025</t>
  </si>
  <si>
    <t>Нож за челюстите на AMOTEK PB166 WWM Dx Чертеж: 166011000 DG Позиция: 166011011</t>
  </si>
  <si>
    <t>Транспортна лента 4000x200mm</t>
  </si>
  <si>
    <t>Транспортна лента 2855x230mm K6x4 РЕЛЕФ</t>
  </si>
  <si>
    <t>Транспортна лента - пред ножа на стека ГОРНА 1500x200mm K10x6</t>
  </si>
  <si>
    <t>Нож за челюстите на пакетажа BW3 - Kansan код: 30019625 - 200x60x2mm</t>
  </si>
  <si>
    <t>Транспортна лента 15900x200mm K10</t>
  </si>
  <si>
    <t xml:space="preserve">Детайл за CB Leonardo Чертеж: GBD21186, Позиция: 14, Код: 07A11320, Описание:  PALETTA Hutile=65mm </t>
  </si>
  <si>
    <t>COMARME GEM F470 - Fig. 258-10, Position 12, 801-14-239</t>
  </si>
  <si>
    <t>Шпонка 5х5х15мм</t>
  </si>
  <si>
    <t>COMARME GEM F470 - Fig. 258-10, Position 3, 801-10-659</t>
  </si>
  <si>
    <t>COMARME GEM F470 - Fig. 258-09, Position 14, 801-10-653</t>
  </si>
  <si>
    <t>Шпонка 5х5х20мм</t>
  </si>
  <si>
    <t>COMARME T22 - Fig. 203-05, Position 17, 801-00-153</t>
  </si>
  <si>
    <t xml:space="preserve">Нож челюсти	CB Leonardo - Чертеж: GBL21433  Код: 58A00052 Позиция: 028 </t>
  </si>
  <si>
    <t>Наковалня за ножа на стека KANSAN - 40x40x265mm 440 M Ф168 - 21090612</t>
  </si>
  <si>
    <t>Нож челюсти	KANSAN - 30015184 (BANAS Kod:04442-11)</t>
  </si>
  <si>
    <t>Транспортен ремък - ГОРЕН	4300x24mm - 30005544</t>
  </si>
  <si>
    <t>Транспортна лента	3470x170mm - K10x6mm РЕЛЕФ - 30015457</t>
  </si>
  <si>
    <t>Дюзи за лепило	Nordson Saturn MiniBlue II SureBead Ф0,41mm - 1121475</t>
  </si>
  <si>
    <t>Нож (Punch) 20x35mm (SB2414032)</t>
  </si>
  <si>
    <t>WW-0035</t>
  </si>
  <si>
    <t>SPILKER</t>
  </si>
  <si>
    <t>Нож (Punch) 20x45mm (SB2415352)</t>
  </si>
  <si>
    <t>Транспортна лента	1520x230mm - K4x6 РЕЛЕФ</t>
  </si>
  <si>
    <t>Транспортна лента	1620x230mm - K4x6 РЕЛЕФ - 30012492</t>
  </si>
  <si>
    <t>Транспортна лента	2250x230mm - K6</t>
  </si>
  <si>
    <t>Транспортна лента	2855x230mm - K6x4 РЕЛЕФ - 30012485</t>
  </si>
  <si>
    <t xml:space="preserve">Транспортна лента	4850x230mm - K6 </t>
  </si>
  <si>
    <t>Транспортна лента	1500x200mm - K10x6 горна - 30005083</t>
  </si>
  <si>
    <t>Транспортна лента	1500x200mm - K10x6 РЕЛЕФ долна - 30005084</t>
  </si>
  <si>
    <t>CB Packing Leonardo Серво мотор - pinch roller, tilter left and right	AKM24C-AC9NCA00 (AKM24C-ACDNCA00)</t>
  </si>
  <si>
    <t>Крепежен елемент Вилка FESTO SG-M10x1,25</t>
  </si>
  <si>
    <t>Болт DIN 7991 М10х50мм</t>
  </si>
  <si>
    <t>Болт М6х16мм А2-70 фрезенк глава</t>
  </si>
  <si>
    <t>COMARME T22 Code: 801-00-112</t>
  </si>
  <si>
    <t>COMARME Т22 - Code: 801-11-090</t>
  </si>
  <si>
    <t>COMARME T22 - Fig. 203-12, Position 16, 801-10-856</t>
  </si>
  <si>
    <t>COMARME T22 - Fig. 203-06, Position 9, 801-00-163</t>
  </si>
  <si>
    <t>Транспортна лента	1455x90mm - K6 РЕЛЕФ - 30001373</t>
  </si>
  <si>
    <t>Транспортна лента	3130x110mm - K6 РЕЛЕФ - 30001372</t>
  </si>
  <si>
    <t>ЗЪБНО КОЛЕЛО - задвижно (режеща машина)	НОЖ на стека</t>
  </si>
  <si>
    <t>НОЖ на стека	42x5x480мм - 21090033</t>
  </si>
  <si>
    <t>НАКОВАЛНЯ за ножа на стека	100x35x490мм - 21090034</t>
  </si>
  <si>
    <t>Транспортна лента	1570x230mm - K6 РЕЛЕФ - 30000949</t>
  </si>
  <si>
    <t>Транспортна лента	3055x230 - K6 - 30004044</t>
  </si>
  <si>
    <t>Транспортна лента	1540x230mm - 30019041</t>
  </si>
  <si>
    <t>Наковалня	21090588 - 105,40*25,5*390mm 440 M</t>
  </si>
  <si>
    <t>Пневматичен цилиндър FESTO - DSNU-16-50-PPV-A-S2</t>
  </si>
  <si>
    <t>Пневматичен цилиндър FESTO - DFM-25-50-B-PPV-A-*</t>
  </si>
  <si>
    <t>Лагер 6308-2Z/C3</t>
  </si>
  <si>
    <t>WW-0028</t>
  </si>
  <si>
    <t>Лагер UC206</t>
  </si>
  <si>
    <t>Синхронен ремък 280H x 19mm (Optibelt  ZR)</t>
  </si>
  <si>
    <t>Синхронен ремък 315H x 19mm</t>
  </si>
  <si>
    <t>Синхронен ремък 465H x 38mm (Optibelt ZR)</t>
  </si>
  <si>
    <t>Синхронен ремък 520H x 19mm</t>
  </si>
  <si>
    <t>Семеринг SC 35-62-7</t>
  </si>
  <si>
    <t>Семеринг BAU3 SLX2 40-62-7 A CFW 3</t>
  </si>
  <si>
    <t>Семеринг BAU3 SLX2 40-62-7 A CFW 1</t>
  </si>
  <si>
    <t>СПЕШНО Смукателен маркуч от армирана PVC спирала Ф25мм СПЕШНО</t>
  </si>
  <si>
    <t>Синхронен ремък 700H</t>
  </si>
  <si>
    <t>WW-0038</t>
  </si>
  <si>
    <t>Редуктор TRAMEC Type: BFK 40, Ratio: 7.5, Code: 90110002404 22A001, Spec. B3</t>
  </si>
  <si>
    <t>CB Packing Leonardo - Транспортна лента на Pinch Roller	465x100mm</t>
  </si>
  <si>
    <t>Kansan Quickstack 20, Model Year - 2021, Serial No - 296, Component No - 15, Part No - 22012026, EXPLANATION - LAST EXIT CONVEYOR TAKING ROLLER SHAFT 1</t>
  </si>
  <si>
    <t>Kansan ACURAPACK 140, Model Year - 2020, Serial No. - 246, Item No. - 25, Part Number - 30017128, Description -  MK4_100_46_15_15_3 MULTI POSITION R+W COUPLING</t>
  </si>
  <si>
    <t>WW-0030 (0000013917)</t>
  </si>
  <si>
    <t>026141 / 04-11-2025</t>
  </si>
  <si>
    <t>Лагер DIERRE MOTIO RN2511E</t>
  </si>
  <si>
    <t>Лагер DIERRE MOTIO RN2411C</t>
  </si>
  <si>
    <t>Синхронен ремък 184 XL</t>
  </si>
  <si>
    <t>Пуш метален бутон с диаметър 22 мм и син светодиод със захранване 24V (Schnieder XB4BW36B5)</t>
  </si>
  <si>
    <t>Лагер S6003-2Z</t>
  </si>
  <si>
    <t>SICK MTZ7 1070844</t>
  </si>
  <si>
    <t>BW</t>
  </si>
  <si>
    <t>WW-0031</t>
  </si>
  <si>
    <t xml:space="preserve">2180129041035 Дроб.нож 129х41х3.5 мат.20Х13 </t>
  </si>
  <si>
    <t>Енев Пилана</t>
  </si>
  <si>
    <t>Part. NO 06-25;Bottom cutting roller panel (machine Serial No. 137 from 2010)</t>
  </si>
  <si>
    <t>WW-0032</t>
  </si>
  <si>
    <t>Цанга Ф12мм на 1/4</t>
  </si>
  <si>
    <t>Реле OMRON G2RV-1-S 21V DC</t>
  </si>
  <si>
    <t>дублиране</t>
  </si>
  <si>
    <t>Метал детектор SICK IQ80-50BPP-KC0</t>
  </si>
  <si>
    <t>Щепсел монофазен ШУКО</t>
  </si>
  <si>
    <t>Синхронен ремък HTG 1536-8M x 40mm</t>
  </si>
  <si>
    <t>Синхронен ремък 560 DH x 30мм</t>
  </si>
  <si>
    <t>Синхронен ремък 1000 DH х 30мм</t>
  </si>
  <si>
    <t>Транспортен ремък - за машината за ЗАТВАРЯНЕ на кашони	50x3370mm NAJ-8EEDV 11 PVC Flexproof 10x80 E-PV10-SD-C200</t>
  </si>
  <si>
    <t>WW-0043</t>
  </si>
  <si>
    <t>bgeorgiev@septona-bg.com</t>
  </si>
  <si>
    <t>Транспортен ремък - за машината за СГЪВАНЕ на кашони 50x1710mm NAJ-8EEDV 11 PVC Flexproof 10x80 E-PV10-RW-C200+N</t>
  </si>
  <si>
    <t>Детайл COMARME GEM F470 - Fig. 258-09, Position 14, 801-10-653</t>
  </si>
  <si>
    <t>Детайл COMARME GEM F470 - Fig. 258-10, Position 3, 801-10-659</t>
  </si>
  <si>
    <t>Нож за Апарат за залепяне на тиксо за COMARME T22 - Fig. 203-05, Position 17, 801-00-153</t>
  </si>
  <si>
    <t>Гайка резбоосигурена M6 - НЕРЪЖДАЕМА</t>
  </si>
  <si>
    <t>Шайба М6 НЕРЪЖДАЕМА</t>
  </si>
  <si>
    <t>Пружинна шайба М6 НЕРЪЖДАЕМА</t>
  </si>
  <si>
    <t>Гайка М8 НЕРЪЖДАЕМА</t>
  </si>
  <si>
    <t>Шайба М8 НЕРЪЖДАЕМА</t>
  </si>
  <si>
    <t>Шайба М10 НЕРЪЖДАЕМА</t>
  </si>
  <si>
    <t>Шайба пружинна М8 НЕРЪЖДАЕМА</t>
  </si>
  <si>
    <t>Шайба пружинна М10 НЕРЪЖДАЕМА</t>
  </si>
  <si>
    <t>Реле Omron G2RV-1-S-G (21V DC)</t>
  </si>
  <si>
    <t>WW-0033</t>
  </si>
  <si>
    <t>Преходник от 1-1/2"-М за маркуч вътрешен Ø51мм</t>
  </si>
  <si>
    <t>АЛБА ОТО-3</t>
  </si>
  <si>
    <t>Скобаусилена</t>
  </si>
  <si>
    <t>Димитър</t>
  </si>
  <si>
    <t>юююююююююскоба усилена  42-46</t>
  </si>
  <si>
    <t>Скоба усилена 47-51</t>
  </si>
  <si>
    <t>Жълта пружина H 40X76 Щанцова пружина жълта	Dh=40 Dd=20 Lo=76</t>
  </si>
  <si>
    <t>WW-0034</t>
  </si>
  <si>
    <t>Комплект шестограми ( с ябълка )</t>
  </si>
  <si>
    <t>SI010SHPT-000216363</t>
  </si>
  <si>
    <t xml:space="preserve">Комплект отвертки </t>
  </si>
  <si>
    <t>Шишета за измиване на принтерите ( 500мл )</t>
  </si>
  <si>
    <t xml:space="preserve">Шублер ( механичен ) </t>
  </si>
  <si>
    <t>Уплътнител 96152-A за помпа ARO модел PD10A-BAP-AAA</t>
  </si>
  <si>
    <t>WW-0036 | SQ166061</t>
  </si>
  <si>
    <t>Уплътнител 93278-A  за помпа ARO модел PD10A-BAP-AAA</t>
  </si>
  <si>
    <t>18/12/2025</t>
  </si>
  <si>
    <t>Autonics E50S8-500-3-T-24</t>
  </si>
  <si>
    <t>406990</t>
  </si>
  <si>
    <t>Autonics E50S8-1024-3-T-24</t>
  </si>
  <si>
    <t>Комбинирани клещи</t>
  </si>
  <si>
    <t>Клещи плоскоустни комбиншрони прави</t>
  </si>
  <si>
    <t>Encoder Heidenhain 524536-11 , EQI 1130 16 5PS15-R8</t>
  </si>
  <si>
    <t>WW-0037</t>
  </si>
  <si>
    <t>ESD Bulgaria Ltd.</t>
  </si>
  <si>
    <t>Режеща пластина (ширина 9мм)</t>
  </si>
  <si>
    <t>Режеща пластина (ширина 18мм)</t>
  </si>
  <si>
    <t>Нож за челюстите</t>
  </si>
  <si>
    <t>CB - Leonardo</t>
  </si>
  <si>
    <t>CB - 64A02144 - RIDUTTORE EPICICLOIDALE HH039 015 (XH14 YH19 R015)  from drw. no. GBL21433</t>
  </si>
  <si>
    <t>Болт м8 х 130 ( външен шестостен )</t>
  </si>
  <si>
    <t>Лагер S6004-2Z-GL-LM-ZEN</t>
  </si>
  <si>
    <t>Лагер 6004zz</t>
  </si>
  <si>
    <t>Транспортна лента 860x130mm - К6 РЕЛЕФ</t>
  </si>
  <si>
    <t>WW-0039</t>
  </si>
  <si>
    <t>Пневматичен цилиндър camozzi QCT2A025A075</t>
  </si>
  <si>
    <t>WW-0041</t>
  </si>
  <si>
    <t>0912251_Dolna_Plocha_</t>
  </si>
  <si>
    <t>Сервомотор Kollmorgen - AKM32C-AC92CA00</t>
  </si>
  <si>
    <t>WW-0040</t>
  </si>
  <si>
    <t>Болт М6х60 мм - цяла резба, шестостенна глава</t>
  </si>
  <si>
    <t>Болт М6х100 мм - цяла резба, шестостенна глава</t>
  </si>
  <si>
    <t>Телена четка за бормашина ПЛОСКА Ф~50mm</t>
  </si>
  <si>
    <t>Телена четка за бормашина ПЛОСКА Ф~75mm</t>
  </si>
  <si>
    <t>Лагер S6004 ZZ</t>
  </si>
  <si>
    <t>Лагер 6004 2RS</t>
  </si>
  <si>
    <t>Технически талк, чувал - 25 кг</t>
  </si>
  <si>
    <t>Ремък Optibelt 280H</t>
  </si>
  <si>
    <t>Пружина за ексцентричния вал на нареждащите вилици - по модел</t>
  </si>
  <si>
    <t>WW-0042</t>
  </si>
  <si>
    <t>Ремък 550H 075 width 19mm</t>
  </si>
  <si>
    <t>Специален куплунг за задвижването на дисковете на пакетажа</t>
  </si>
  <si>
    <t>Нож 139х3.5х41</t>
  </si>
  <si>
    <t>FESTO VASB-30-1/8-SI-B</t>
  </si>
  <si>
    <t>Лагер 60042RS</t>
  </si>
  <si>
    <t>WW-0044</t>
  </si>
  <si>
    <t>Лагер S6004ZZ</t>
  </si>
  <si>
    <t>Синхронен ремък 700H x19mm</t>
  </si>
  <si>
    <t>Синхронен ремък 560DH x 30mm</t>
  </si>
  <si>
    <t>Нож за стек 129х3.5х41</t>
  </si>
  <si>
    <t>Пистолет за робота Nordson KIT PN:1095800</t>
  </si>
  <si>
    <t>Индуктивен датчик XS518B1NBM12</t>
  </si>
  <si>
    <t>Асинхронен двигартел VALSAMOGGIA (BO) Type: 63C; Poles: 4; IM: B5; Ins. CL.: F; IP: 55; Duty: S1; SATI Code: M10630254B5; 1350 rpm; 0,25kW</t>
  </si>
  <si>
    <t>Редуктор NMRV040 PAM 140/11 R.1:10</t>
  </si>
  <si>
    <t>направляваща ОС с диаметър 60мм и дължина от 1,5 метра за линеен лагер</t>
  </si>
  <si>
    <t>Каталожен номер: 110483, Вентилатор, 24VDC, 80x80x25mm, 1.68W, лагер Vapo, 69.29m³/h, MF80252V1-A99-A, безчетков</t>
  </si>
  <si>
    <t>400108 Fan Holder</t>
  </si>
  <si>
    <t>WW-0045</t>
  </si>
  <si>
    <t>Жълта пружина H 40X76 Щанцова пружина жълта Dh=40 Dd=20 Lo=76</t>
  </si>
  <si>
    <t>WW-0046</t>
  </si>
  <si>
    <t>Лагер SKF Explorer 12 086P 6205-2RSH</t>
  </si>
  <si>
    <t>Хартиени Клечки</t>
  </si>
  <si>
    <t>PP-0001</t>
  </si>
  <si>
    <t>Нож STREMA 06.03.00010 - Blade HSS 343x30x6</t>
  </si>
  <si>
    <t>PP-0002</t>
  </si>
  <si>
    <t>strema</t>
  </si>
  <si>
    <t>1Z4V18R66828131022 (UPS)</t>
  </si>
  <si>
    <t>26/06/2025</t>
  </si>
  <si>
    <t>122/25 - 18-06-2025</t>
  </si>
  <si>
    <t xml:space="preserve">Извит нож STREMA 03.05.00014 - Blade for jaw dowel BC09 Dis./Drw. 13040A </t>
  </si>
  <si>
    <t>Резервно острие за макетен нож STANLEY 60х0.65x19мм Арт. номер: 043 001 1298</t>
  </si>
  <si>
    <t>Башмайстора.com</t>
  </si>
  <si>
    <t xml:space="preserve">Назъбен нож 03.05.00013 Blade cut flap L342 Drw. 10621A </t>
  </si>
  <si>
    <t>Quote 39 Rev.1 Of 25/02/2025</t>
  </si>
  <si>
    <t>ОС с D=20mm, L=400 mm, 2xM8x30</t>
  </si>
  <si>
    <t>Създаване на CAD модел и Чертеж</t>
  </si>
  <si>
    <t>ОС с D=20mm, L=340 mm, 2xM8x40</t>
  </si>
  <si>
    <t xml:space="preserve">Пистолет за лепило nordson MiniBlue II за PROBLUE 4 </t>
  </si>
  <si>
    <t>Хартиени Кутии</t>
  </si>
  <si>
    <t>PP-0003</t>
  </si>
  <si>
    <t>Винт с лещовидна глава,ISO 7380,10.9,vZn,M 4x10 - 07380 1001 4 10</t>
  </si>
  <si>
    <t>Нагревател за "изхвърляч" арт.13176 -:180w цилиндричен</t>
  </si>
  <si>
    <t>Температурен сензор арт.131177</t>
  </si>
  <si>
    <t>Болт с конусна глава неръждаем М3х12мм Винт фрезенков, DIN 7991, A2</t>
  </si>
  <si>
    <t>Гайка стопорна М3   Гайка самоосигурителна,DIN 985,8,vZn,M 3</t>
  </si>
  <si>
    <t xml:space="preserve">Plate guide side </t>
  </si>
  <si>
    <t>Менгеме шлосерско TOTAL с въртяща се основа, 150 мм, 11.2 кг TL THT6166</t>
  </si>
  <si>
    <t>Шестогарм 5  Г-образен ключ шестостен, WhirlPower, SW 5 мм</t>
  </si>
  <si>
    <t>Работна маса 120cm x 60 cm</t>
  </si>
  <si>
    <t>Фуния за масло голяма</t>
  </si>
  <si>
    <t>Фуния за масло EURO YT 0697</t>
  </si>
  <si>
    <t>ТРАПЕЦОВИДНО ОСТРИЕ 10БР/ПАК 0703600036</t>
  </si>
  <si>
    <t>PP-0004</t>
  </si>
  <si>
    <t>Ключ звездогаечен 7 мм</t>
  </si>
  <si>
    <t>Лагер 6006 RS</t>
  </si>
  <si>
    <t>Зегерка за вал ф 28х 1.5 мм</t>
  </si>
  <si>
    <t>Дръжка Elesa+Ganter GN 101-18-M8-63-SW</t>
  </si>
  <si>
    <t>PP-0006</t>
  </si>
  <si>
    <t>veco.bg</t>
  </si>
  <si>
    <t>WF WPL0957 клещи</t>
  </si>
  <si>
    <t>21WA4R0B130-XE Solenoid Valve</t>
  </si>
  <si>
    <t>Holder Paper Stems_A01</t>
  </si>
  <si>
    <t>Schneider VW3M3501 safety eSIM</t>
  </si>
  <si>
    <t>PP-0007</t>
  </si>
  <si>
    <t>schneider VW3A3608</t>
  </si>
  <si>
    <t>schneider LXM32MD30N4</t>
  </si>
  <si>
    <t>AIGNEP QFA0160020 --&gt; ADNGF-16-20-P-A</t>
  </si>
  <si>
    <t>PP-0008</t>
  </si>
  <si>
    <t>Втулка алуминиева 30x20x15</t>
  </si>
  <si>
    <t>ОС L38 alumin</t>
  </si>
  <si>
    <t>Лента за разролващ модул МХК</t>
  </si>
  <si>
    <t>Солид стейт реле, SR1-1425-N, полупроводниково, 4-30VDC, товароносимост 25A/480VAC (https://vikiwat.com/solid-steyt-rele-sr1-1425-n-poluprovodnikovo-4-30vdc-tovaronosimost-25a-480vac)</t>
  </si>
  <si>
    <t>Пластмасови Кутийки и Капаци</t>
  </si>
  <si>
    <t>Цанга/нипел -ф3/м3</t>
  </si>
  <si>
    <t>Siemens 3RP1574-1NP30</t>
  </si>
  <si>
    <t>PP-0009</t>
  </si>
  <si>
    <t>SICK WE2S 2P3230  2069153</t>
  </si>
  <si>
    <t>PP-0010</t>
  </si>
  <si>
    <t>Матрица за ремонт, паднал избутвач Bazigos 2cav Pop up 50 cotton buds, Code 23271 from 2023</t>
  </si>
  <si>
    <t>PP-0011</t>
  </si>
  <si>
    <t>FESTO Съединител  QSM  QSM-M3-3-I 153312</t>
  </si>
  <si>
    <t>PP-0012</t>
  </si>
  <si>
    <t>Шлаух с външен Ø 3 mm за вода гъвкав на метър</t>
  </si>
  <si>
    <t>0010068423 - 14/08/2025</t>
  </si>
  <si>
    <t>Редуктор Bonfiglioli code:200680068,  VF 49 P1 10 P80 B14 B3</t>
  </si>
  <si>
    <t>PP-0013</t>
  </si>
  <si>
    <t>CONTONI SKh 80-4A2</t>
  </si>
  <si>
    <t>DANA BREVINI ADC 3E03CW 1  M82101020A</t>
  </si>
  <si>
    <t>PP-0014</t>
  </si>
  <si>
    <t>pos.3 drw. 13134 Cilindro oleodinamico 30-20-80 - Cylinder</t>
  </si>
  <si>
    <t>PP-0015</t>
  </si>
  <si>
    <t>Шестограм 5</t>
  </si>
  <si>
    <t xml:space="preserve">Комплект шестограми </t>
  </si>
  <si>
    <t>Резервно острие за макетен нож STANLEY 60х0.65x19мм 5броя</t>
  </si>
  <si>
    <t>SICK SPR-F440PPS1W04</t>
  </si>
  <si>
    <t>CM-006</t>
  </si>
  <si>
    <t xml:space="preserve">Лява лапа от снимка IMG_2591 </t>
  </si>
  <si>
    <t>PP-0016</t>
  </si>
  <si>
    <t>camozzi 24N2A16050</t>
  </si>
  <si>
    <t>Volantino (pos. 36 from Drawing 12550 STREMA)</t>
  </si>
  <si>
    <t>PP-0017</t>
  </si>
  <si>
    <t>Ролки;Catalogo rikambiBC09;TAV. 7;Dis 10623</t>
  </si>
  <si>
    <t>PP-0018</t>
  </si>
  <si>
    <t>70 литрова кофа с капак</t>
  </si>
  <si>
    <t>Schneider Electric LADN22S</t>
  </si>
  <si>
    <t>PP-0019</t>
  </si>
  <si>
    <t>Лагер 6205 -2RSH</t>
  </si>
  <si>
    <t xml:space="preserve">Вал code. 12847  - Albero rullo avanzamento carta - shaft from DRW. No. 12851 </t>
  </si>
  <si>
    <t>Стопорен винт М6х6 с прав връх</t>
  </si>
  <si>
    <t>Редуктор Varvel SRTY 05007G525 i:7</t>
  </si>
  <si>
    <t>Болт DIN 933 M12x80</t>
  </si>
  <si>
    <t>Транспортна лента Habasit NAB-8EEDV 11 - Width: 450 mm , Lenght: 6560 mm - dark green</t>
  </si>
  <si>
    <t>03.05.00013-Blade cut flap L342 Drw. 10621A (BC09)</t>
  </si>
  <si>
    <t>Лагер 6004 2RSH</t>
  </si>
  <si>
    <t>Лагер 6004 2rsh</t>
  </si>
  <si>
    <t>Лагер SKF 6003 2RSH</t>
  </si>
  <si>
    <t>Резервно острие за макетен нож STAIN</t>
  </si>
  <si>
    <t>Knurled shaft dian 48 ;TAV7 ; pos №3: Dis. 12553</t>
  </si>
  <si>
    <t>NEW CODE: 04.02.00074  | 12540 - Tamburo - drum (Drw. No. 10700)</t>
  </si>
  <si>
    <t>PP-0020</t>
  </si>
  <si>
    <t>NEW CODE: 03.01.00182 | 10703 - Ganascia forma sticks - sticks forming jaw (Drw. No. 10708</t>
  </si>
  <si>
    <t>AZ 521 LL - може и друга марка</t>
  </si>
  <si>
    <t>Болт с вътрешен шестостен M6x30 (трансферирана заявка от хартиен носител)</t>
  </si>
  <si>
    <t>метчик M6 (трансферирана заявка от хартиен носител)</t>
  </si>
  <si>
    <t>Свредло Ø5.2 (трансферирана заявка от хартиен носител)</t>
  </si>
  <si>
    <t>Комплект възтановител на резби M3</t>
  </si>
  <si>
    <t>Комплект шесторами</t>
  </si>
  <si>
    <t>Лагер KH 206 GAE Asachi / за задвижващ барабан на лентов транспортьор на хартиен ролон/</t>
  </si>
  <si>
    <t>Резервно острие за макетен нож Stain</t>
  </si>
  <si>
    <t>лагер  KH 206 GAE</t>
  </si>
  <si>
    <t>Лагер SNR 6005</t>
  </si>
  <si>
    <t>Habasit NAB-12EEDV 11, B=203 mm, L=2420 mm+2PV13</t>
  </si>
  <si>
    <t>PP-0021</t>
  </si>
  <si>
    <t>test 123</t>
  </si>
  <si>
    <t>test 4</t>
  </si>
  <si>
    <t>Test for automation of refreshing status sheet</t>
  </si>
  <si>
    <t>Schneider Electric A9F74363 - Acti 9 iC60 - Миниатюрен автоматичен прекъсвач - 3P - 63A - крива C ( от Ехнатон https://shop.akhnaton.biz/acti-9-ic60-miniatyuren-avtomatichen-prekasvach-3p-63a-kriva-c-8682?search=%D0%9C%D0%B8%D0%BD%D0%B8%D0%B0%D1%82%D1%8E%D1%80%D0%B5%D0%BD%20%D0%B0%D0%B2%D1%82%D0%BE%D0%BC%D0%B0%D1%82%D0%B8%D1%87%D0%B5%D0%BD%20%D0%BF%D1%80%D0%B5%D0%BA%D1%8A%D1%81%D0%B2%D0%B0%D1%87 )</t>
  </si>
  <si>
    <t>WAGO 857-152 (https://www.wago.com/bg/relay-and-optocoupler-modules/basic-relay/p/857-152#details)</t>
  </si>
  <si>
    <t>Camozzi 16N2A12A100</t>
  </si>
  <si>
    <t>Camozzi 24N2A16A050</t>
  </si>
  <si>
    <t>Nordson module with nozzlie kit, 1121479; (1121473 -nozzle kit mini blue II SureBead</t>
  </si>
  <si>
    <t>Шпилка М8-1 м.</t>
  </si>
  <si>
    <t>Цанга -34 мм.</t>
  </si>
  <si>
    <t>Вибратор KEM-P MV-2M PRM 3000</t>
  </si>
  <si>
    <t>Всички цени са без ДДС и без Доставка във лв.</t>
  </si>
  <si>
    <t>Стойност на поръчките започващи от март 2025</t>
  </si>
  <si>
    <t>Department</t>
  </si>
  <si>
    <t>Total Spend BGN</t>
  </si>
  <si>
    <t>Cotton Tape and Sliver</t>
  </si>
  <si>
    <t>Cotton Buds and Pads</t>
  </si>
  <si>
    <t>Wet wipes</t>
  </si>
  <si>
    <t>Paper sticks, plastics</t>
  </si>
  <si>
    <t>Корпус 6</t>
  </si>
  <si>
    <t>Доставчици</t>
  </si>
  <si>
    <t>локация</t>
  </si>
  <si>
    <t>Contact pearson</t>
  </si>
  <si>
    <t>43.842448486238276, 25.947848552541092</t>
  </si>
  <si>
    <t>43.85677546721244, 25.98375229772337</t>
  </si>
  <si>
    <t>Частична Доставка</t>
  </si>
  <si>
    <t>43.83947733672397, 25.954643092530542</t>
  </si>
  <si>
    <t>43.85338809803122, 25.99129194013911</t>
  </si>
  <si>
    <t>43.869665669541995, 26.014500385732315</t>
  </si>
  <si>
    <t>INTELLIGENT PARTNER CONSTRUCTIONS</t>
  </si>
  <si>
    <t>43.82257373682912, 25.92704052983579</t>
  </si>
  <si>
    <t>43.834526917297346, 25.953961660163</t>
  </si>
  <si>
    <t>Поръчано с промяна на количеството</t>
  </si>
  <si>
    <t>ТЕХНОМИКС ЕООД</t>
  </si>
  <si>
    <t>Пловдив, ул. Братя Бъкстон 134</t>
  </si>
  <si>
    <t>ГЕКО</t>
  </si>
  <si>
    <t>ул."Стремление" №60</t>
  </si>
  <si>
    <t>ruse@viscom.bg    
+359886178488</t>
  </si>
  <si>
    <t>Братя Пасеви</t>
  </si>
  <si>
    <t>43.837092050275125, 25.959569554269127</t>
  </si>
  <si>
    <t>Ревизиране на количествата</t>
  </si>
  <si>
    <t>martinkirov@smarttextilchemie.com</t>
  </si>
  <si>
    <t>Налично</t>
  </si>
  <si>
    <t>Industrial Parts</t>
  </si>
  <si>
    <t>гр. Казанлък
"Южна Индустриална зона" / сграда Индустриал партс / п.к.24</t>
  </si>
  <si>
    <t>v.svestarova@industrial-parts.com</t>
  </si>
  <si>
    <t>Дублирана</t>
  </si>
  <si>
    <t>info@sensomat.info</t>
  </si>
  <si>
    <t>UTECO AUTOMATION</t>
  </si>
  <si>
    <t>francesco.polli@cbpackaging.it</t>
  </si>
  <si>
    <t>n.danchev@bis-eng.com</t>
  </si>
  <si>
    <t>kalin.stamatov@festo.com</t>
  </si>
  <si>
    <t>agradev@ld-gmbh.com</t>
  </si>
  <si>
    <t>ZARANDO s.p.a</t>
  </si>
  <si>
    <t>Бултекс</t>
  </si>
  <si>
    <t>Тити русе</t>
  </si>
  <si>
    <t>082 845 382</t>
  </si>
  <si>
    <t>V-TAC</t>
  </si>
  <si>
    <t>Baustoff-metal.bg</t>
  </si>
  <si>
    <t>ИМПЕКСРОН ООД</t>
  </si>
  <si>
    <t>i.vasev@impexron.bg</t>
  </si>
  <si>
    <t>SIT s.p.a</t>
  </si>
  <si>
    <t xml:space="preserve">Madhouse-studio </t>
  </si>
  <si>
    <t>43.84288639727875, 25.946504251323603</t>
  </si>
  <si>
    <t>s.stankov@kamatic.com</t>
  </si>
  <si>
    <t>spareparts@falu.com</t>
  </si>
  <si>
    <t>ТОМИС</t>
  </si>
  <si>
    <t>radoslav_kafelov@tomis.bg</t>
  </si>
  <si>
    <t>g.vichev@smc.bg</t>
  </si>
  <si>
    <t>v.chalov@baktrade.com</t>
  </si>
  <si>
    <t xml:space="preserve">Даринка </t>
  </si>
  <si>
    <t>Бултекс 99</t>
  </si>
  <si>
    <t>angelov@bultex99.com</t>
  </si>
  <si>
    <t>Sopharmacy</t>
  </si>
  <si>
    <t>Катрин Макс ООД</t>
  </si>
  <si>
    <t>gabriel.georgiev@beckra.eu</t>
  </si>
  <si>
    <t>Логистика - Септона България</t>
  </si>
  <si>
    <t>MGM Motori s.r.l</t>
  </si>
  <si>
    <t>mgm@mgmrestop.com</t>
  </si>
  <si>
    <t>Homemax</t>
  </si>
  <si>
    <t>acquisti@acm-engineering.it</t>
  </si>
  <si>
    <t>Aqua.store</t>
  </si>
  <si>
    <t>sales@akva.bg</t>
  </si>
  <si>
    <t>Рапид ЕООД</t>
  </si>
  <si>
    <t>office@rapid-valco.com</t>
  </si>
  <si>
    <t>Рутелсат ООД</t>
  </si>
  <si>
    <t>office@vesuviustreamline.com</t>
  </si>
  <si>
    <t>Дунавлаб</t>
  </si>
  <si>
    <t>ГЕБРА 80 ЕООД</t>
  </si>
  <si>
    <t xml:space="preserve">RATTIINOX SRL </t>
  </si>
  <si>
    <t>Safetyup</t>
  </si>
  <si>
    <t>ТИВИ ГРУП</t>
  </si>
  <si>
    <t>HIWIN Bulgaria</t>
  </si>
  <si>
    <t>линеста</t>
  </si>
  <si>
    <t>exoror</t>
  </si>
  <si>
    <t>Атласкопко</t>
  </si>
  <si>
    <t>stanislav.ovcharov</t>
  </si>
  <si>
    <t>Elin</t>
  </si>
  <si>
    <t>elin@eldvigateli.com</t>
  </si>
  <si>
    <t xml:space="preserve">sales@amotek.com </t>
  </si>
  <si>
    <t>Mexon</t>
  </si>
  <si>
    <t>professional@mexon.bg'; 'info@mexon.bg'</t>
  </si>
  <si>
    <t>Exror Линеста ЕООД</t>
  </si>
  <si>
    <t>sales@stratons.bg' ; Savkova sales@stratons.bg</t>
  </si>
  <si>
    <t>Fixed</t>
  </si>
  <si>
    <t>rosen.sultanov@hennlich.bg</t>
  </si>
  <si>
    <t>Kansan SUPPORT &lt;support@kansanmak.com&gt;</t>
  </si>
  <si>
    <t>ROSINK/neuenhause</t>
  </si>
  <si>
    <t>Martin.Schoolkate@neuenhauser.de | Christiane.Gluenz@neuenhauser.de |  Stefan.Ruck@neuenhauser.de</t>
  </si>
  <si>
    <t xml:space="preserve">Nagrevatel.eu </t>
  </si>
  <si>
    <t>office@nagrevatel.eu</t>
  </si>
  <si>
    <t>Tsvetelin.Ganchev@wuerth.bg</t>
  </si>
  <si>
    <t>Валерий С&amp;М груп АД</t>
  </si>
  <si>
    <t xml:space="preserve">3market.cz </t>
  </si>
  <si>
    <t>Lukáš Křeček &lt;lk@arango.cz&gt;</t>
  </si>
  <si>
    <t>office@veco.bg</t>
  </si>
  <si>
    <t>Ванико</t>
  </si>
  <si>
    <t>+359 (73) 88 20 02 | Office@vaniko.com</t>
  </si>
  <si>
    <t>Софиана</t>
  </si>
  <si>
    <t>Tel. +359 (02) 946 14 29
Mob. +359 (0888) 126 191
office@sofiana-bg.com</t>
  </si>
  <si>
    <t>Comet Electronics</t>
  </si>
  <si>
    <t>yulia.yankova@comet.bg</t>
  </si>
  <si>
    <t>office@nikol-n.com</t>
  </si>
  <si>
    <t>brtechnika</t>
  </si>
  <si>
    <t>office@brtechnika.com</t>
  </si>
  <si>
    <t>ABB</t>
  </si>
  <si>
    <t>Weid-Bul</t>
  </si>
  <si>
    <t>Колорит 96 ООД</t>
  </si>
  <si>
    <t>бул. Липник 123 
43.85286417702994, 25.993504335601795</t>
  </si>
  <si>
    <t>BG Robots</t>
  </si>
  <si>
    <t>BPS</t>
  </si>
  <si>
    <t>Spraying Systems Europe BV</t>
  </si>
  <si>
    <t>lenntech</t>
  </si>
  <si>
    <t>info@lenntech.com</t>
  </si>
  <si>
    <t>fantinicosmi</t>
  </si>
  <si>
    <t>uraca.de</t>
  </si>
  <si>
    <t>Aquajet</t>
  </si>
  <si>
    <t>BECKHOFF</t>
  </si>
  <si>
    <t>nt@viautomation.bg | Никола Тодоров - +359884273434</t>
  </si>
  <si>
    <t>denifire</t>
  </si>
  <si>
    <t>Orange1 (Magnetic)</t>
  </si>
  <si>
    <t>intermetal</t>
  </si>
  <si>
    <t>info@emmebi-impianti.it</t>
  </si>
  <si>
    <t>Seipee</t>
  </si>
  <si>
    <t>semenashop.bg</t>
  </si>
  <si>
    <t>h2oinnovation</t>
  </si>
  <si>
    <t>daniela.vidal@h2oinnovation.com &lt;daniela.vidal@h2oinnovation.com&gt;</t>
  </si>
  <si>
    <t>m.marinov@ae-bg.com | +359 888 558 760 | office@ae-bg.com</t>
  </si>
  <si>
    <t>s.Stefanov@schrack.bg</t>
  </si>
  <si>
    <t>Johnson controls</t>
  </si>
  <si>
    <t>sales@electris.biz</t>
  </si>
  <si>
    <t>"office@deita-karcher.com" &lt;office@deita-karcher.com&gt;; "ДЕЙТА ЕООД" &lt;deitabg@mail.bg&gt;</t>
  </si>
  <si>
    <t>petko.petkov@endress.com</t>
  </si>
  <si>
    <t>"office@vallder.com" &lt;office@vallder.com&gt;</t>
  </si>
  <si>
    <t>Alexander Georgiev +359888204054, georgiev.a@rittal.bg</t>
  </si>
  <si>
    <t>sales@di-soric.com</t>
  </si>
  <si>
    <t>sales@meltmann.com</t>
  </si>
  <si>
    <t>farnell</t>
  </si>
  <si>
    <t>Piotr.Kalarus@sglcarbon.com&gt;</t>
  </si>
  <si>
    <t>Каролев-Тис ЕООД</t>
  </si>
  <si>
    <t>office@pilana.bg | Момчил Енев | +359888302483</t>
  </si>
  <si>
    <t>Sentera Thracia Ltd.</t>
  </si>
  <si>
    <t>eurotrol@eurotrol.it | Jacopo Lavecchia - AREA MANAGER |  j.lavecchia@eurotrol.it  | 0039 340 1838398</t>
  </si>
  <si>
    <t>info@esd.bg</t>
  </si>
  <si>
    <t>Soltec</t>
  </si>
  <si>
    <t>moriboni@marzoli.it</t>
  </si>
  <si>
    <t>LDG</t>
  </si>
  <si>
    <t>sales@ldg-bg.com</t>
  </si>
  <si>
    <t>sales@plcdirect.eu</t>
  </si>
  <si>
    <t>ring 30 UNI 3653 (Осигурителен пръстен, DIN 471, ф 30 x 1,5)</t>
  </si>
  <si>
    <t>KANSAN - Lower cutter chock - Nr.2 - Part No. 21090609, from page 85, comp. 20, for machine Quickstack 24 Ser. No. 198, Model Year 2018</t>
  </si>
  <si>
    <t>WW-0047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</si>
</sst>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[$лв.-402]_-;\-* #,##0.00\ [$лв.-402]_-;_-* &quot;-&quot;??\ [$лв.-402]_-;_-@_-"/>
    <numFmt numFmtId="165" formatCode="dd/mm/yyyy"/>
    <numFmt numFmtId="166" formatCode="dd/mm/yy\ h:mm"/>
    <numFmt numFmtId="167" formatCode="dd/mm/yyyy\ h:mm"/>
    <numFmt numFmtId="168" formatCode="m/d/yy\ h:mm"/>
    <numFmt numFmtId="169" formatCode="0.0000"/>
  </numFmts>
  <fonts count="2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  <charset val="1"/>
    </font>
    <font>
      <sz val="15"/>
      <color rgb="FF212121"/>
      <name val="Aptos Narrow"/>
      <family val="2"/>
      <scheme val="minor"/>
    </font>
    <font>
      <sz val="8"/>
      <color theme="1"/>
      <name val="Arial,Bold"/>
    </font>
    <font>
      <sz val="11"/>
      <color rgb="FF444444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444444"/>
      <name val="Arial"/>
      <family val="2"/>
    </font>
    <font>
      <strike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8"/>
      <name val="Aptos Narrow"/>
      <family val="2"/>
      <scheme val="minor"/>
    </font>
    <font>
      <sz val="12"/>
      <color rgb="FF444444"/>
      <name val="Arial"/>
      <family val="2"/>
    </font>
    <font>
      <sz val="11"/>
      <color rgb="FF333333"/>
      <name val="Arial"/>
      <family val="2"/>
    </font>
    <font>
      <sz val="12"/>
      <color rgb="FF5E5E5E"/>
      <name val="Arial"/>
      <family val="2"/>
    </font>
    <font>
      <sz val="11"/>
      <color rgb="FF444444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E4F5"/>
        <bgColor rgb="FFC0E4F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43AEE2"/>
      </top>
      <bottom style="thin">
        <color rgb="FF43AEE2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wrapText="1"/>
    </xf>
    <xf numFmtId="0" fontId="2" fillId="0" borderId="0" xfId="1"/>
    <xf numFmtId="0" fontId="3" fillId="0" borderId="0" xfId="0" applyFont="1"/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2" fillId="0" borderId="0" xfId="1" quotePrefix="1"/>
    <xf numFmtId="0" fontId="6" fillId="0" borderId="0" xfId="0" applyFont="1"/>
    <xf numFmtId="0" fontId="0" fillId="2" borderId="0" xfId="0" applyFill="1"/>
    <xf numFmtId="0" fontId="7" fillId="0" borderId="0" xfId="0" applyFont="1"/>
    <xf numFmtId="0" fontId="8" fillId="2" borderId="0" xfId="0" applyFont="1" applyFill="1"/>
    <xf numFmtId="0" fontId="8" fillId="0" borderId="0" xfId="0" applyFont="1"/>
    <xf numFmtId="1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22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0" fontId="10" fillId="2" borderId="0" xfId="0" applyFont="1" applyFill="1" applyAlignment="1">
      <alignment horizontal="right" vertical="center"/>
    </xf>
    <xf numFmtId="165" fontId="0" fillId="0" borderId="0" xfId="0" applyNumberFormat="1" applyAlignment="1">
      <alignment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7" fontId="0" fillId="0" borderId="0" xfId="0" applyNumberFormat="1" applyAlignment="1">
      <alignment wrapText="1"/>
    </xf>
    <xf numFmtId="165" fontId="10" fillId="2" borderId="0" xfId="0" applyNumberFormat="1" applyFont="1" applyFill="1" applyAlignment="1">
      <alignment horizontal="left" vertical="center"/>
    </xf>
    <xf numFmtId="2" fontId="0" fillId="0" borderId="0" xfId="0" applyNumberFormat="1" applyAlignment="1">
      <alignment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vertical="center"/>
    </xf>
    <xf numFmtId="165" fontId="12" fillId="0" borderId="0" xfId="0" applyNumberFormat="1" applyFont="1" applyAlignment="1">
      <alignment vertical="center"/>
    </xf>
    <xf numFmtId="167" fontId="12" fillId="0" borderId="0" xfId="0" applyNumberFormat="1" applyFont="1" applyAlignment="1">
      <alignment vertical="center"/>
    </xf>
    <xf numFmtId="0" fontId="12" fillId="0" borderId="0" xfId="0" applyFont="1"/>
    <xf numFmtId="164" fontId="0" fillId="2" borderId="0" xfId="0" applyNumberFormat="1" applyFill="1"/>
    <xf numFmtId="0" fontId="0" fillId="2" borderId="0" xfId="0" applyFill="1" applyAlignment="1">
      <alignment horizontal="center"/>
    </xf>
    <xf numFmtId="165" fontId="13" fillId="3" borderId="2" xfId="0" applyNumberFormat="1" applyFont="1" applyFill="1" applyBorder="1" applyAlignment="1">
      <alignment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14" fillId="6" borderId="3" xfId="0" applyFont="1" applyFill="1" applyBorder="1" applyAlignment="1">
      <alignment wrapText="1"/>
    </xf>
    <xf numFmtId="0" fontId="15" fillId="3" borderId="2" xfId="0" applyFont="1" applyFill="1" applyBorder="1"/>
    <xf numFmtId="14" fontId="15" fillId="3" borderId="2" xfId="0" applyNumberFormat="1" applyFont="1" applyFill="1" applyBorder="1"/>
    <xf numFmtId="0" fontId="15" fillId="0" borderId="2" xfId="0" applyFont="1" applyBorder="1"/>
    <xf numFmtId="14" fontId="15" fillId="0" borderId="2" xfId="0" applyNumberFormat="1" applyFont="1" applyBorder="1"/>
    <xf numFmtId="0" fontId="15" fillId="0" borderId="0" xfId="0" applyFont="1"/>
    <xf numFmtId="14" fontId="15" fillId="3" borderId="0" xfId="0" applyNumberFormat="1" applyFont="1" applyFill="1"/>
    <xf numFmtId="165" fontId="0" fillId="0" borderId="2" xfId="0" applyNumberFormat="1" applyBorder="1" applyAlignment="1">
      <alignment vertical="center"/>
    </xf>
    <xf numFmtId="14" fontId="15" fillId="0" borderId="0" xfId="0" applyNumberFormat="1" applyFont="1"/>
    <xf numFmtId="0" fontId="15" fillId="3" borderId="0" xfId="0" applyFont="1" applyFill="1"/>
    <xf numFmtId="0" fontId="0" fillId="0" borderId="2" xfId="0" applyBorder="1" applyAlignment="1">
      <alignment vertical="center"/>
    </xf>
    <xf numFmtId="22" fontId="0" fillId="0" borderId="0" xfId="0" applyNumberFormat="1" applyAlignment="1">
      <alignment horizontal="right" vertical="center"/>
    </xf>
    <xf numFmtId="0" fontId="17" fillId="0" borderId="0" xfId="0" applyFont="1"/>
    <xf numFmtId="168" fontId="0" fillId="0" borderId="0" xfId="0" applyNumberFormat="1" applyAlignment="1">
      <alignment vertical="center"/>
    </xf>
    <xf numFmtId="0" fontId="18" fillId="0" borderId="0" xfId="0" applyFont="1"/>
    <xf numFmtId="49" fontId="0" fillId="0" borderId="0" xfId="0" applyNumberFormat="1" applyAlignment="1">
      <alignment horizontal="left" wrapText="1"/>
    </xf>
    <xf numFmtId="14" fontId="0" fillId="0" borderId="0" xfId="0" applyNumberFormat="1"/>
    <xf numFmtId="0" fontId="0" fillId="2" borderId="0" xfId="0" applyFill="1" applyAlignment="1">
      <alignment horizontal="center" vertical="center" wrapText="1"/>
    </xf>
    <xf numFmtId="0" fontId="2" fillId="0" borderId="0" xfId="1" applyAlignment="1">
      <alignment horizontal="center" wrapText="1"/>
    </xf>
    <xf numFmtId="2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0" fontId="19" fillId="0" borderId="0" xfId="0" applyFont="1"/>
    <xf numFmtId="169" fontId="0" fillId="0" borderId="0" xfId="0" applyNumberFormat="1"/>
    <xf numFmtId="0" fontId="20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7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bgColor rgb="FFFFFF00"/>
        </patternFill>
      </fill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165" formatCode="dd/mm/yyyy"/>
    </dxf>
    <dxf>
      <numFmt numFmtId="165" formatCode="dd/mm/yyyy"/>
    </dxf>
    <dxf>
      <numFmt numFmtId="168" formatCode="m/d/yy\ h:mm"/>
      <alignment horizontal="general" vertical="center" textRotation="0" wrapText="0" indent="0" justifyLastLine="0" shrinkToFit="0" readingOrder="0"/>
    </dxf>
    <dxf>
      <numFmt numFmtId="165" formatCode="dd/mm/yyyy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7" formatCode="dd/mm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2" formatCode="0.00"/>
    </dxf>
    <dxf>
      <numFmt numFmtId="2" formatCode="0.00"/>
    </dxf>
    <dxf>
      <numFmt numFmtId="165" formatCode="dd/mm/yyyy"/>
    </dxf>
    <dxf>
      <numFmt numFmtId="165" formatCode="dd/mm/yyyy"/>
    </dxf>
    <dxf>
      <numFmt numFmtId="165" formatCode="dd/mm/yyyy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7" formatCode="dd/mm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dd/mm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Statistics!$B$4</c:f>
              <c:strCache>
                <c:ptCount val="1"/>
                <c:pt idx="0">
                  <c:v>Total Spend BGN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45-4DB7-84A7-9BFB6D7EBA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45-4DB7-84A7-9BFB6D7EBA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45-4DB7-84A7-9BFB6D7EBA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45-4DB7-84A7-9BFB6D7EBA79}"/>
              </c:ext>
            </c:extLst>
          </c:dPt>
          <c:cat>
            <c:strRef>
              <c:f>Statistics!$A$5:$A$8</c:f>
              <c:strCache>
                <c:ptCount val="4"/>
                <c:pt idx="0">
                  <c:v>Cotton Tape and Sliver</c:v>
                </c:pt>
                <c:pt idx="1">
                  <c:v>Cotton Buds and Pads</c:v>
                </c:pt>
                <c:pt idx="2">
                  <c:v>Wet wipes</c:v>
                </c:pt>
                <c:pt idx="3">
                  <c:v>Paper sticks, plastics</c:v>
                </c:pt>
              </c:strCache>
            </c:strRef>
          </c:cat>
          <c:val>
            <c:numRef>
              <c:f>Statistics!$B$5:$B$8</c:f>
              <c:numCache>
                <c:formatCode>_-* #,##0.00\ [$лв.-402]_-;\-* #,##0.00\ [$лв.-402]_-;_-* "-"??\ [$лв.-402]_-;_-@_-</c:formatCode>
                <c:ptCount val="4"/>
                <c:pt idx="0">
                  <c:v>74135.198744099995</c:v>
                </c:pt>
                <c:pt idx="1">
                  <c:v>44302.51918321391</c:v>
                </c:pt>
                <c:pt idx="2">
                  <c:v>115395.95919489999</c:v>
                </c:pt>
                <c:pt idx="3">
                  <c:v>80131.012746399996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6E-472D-AF0D-A66D9D9B3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Cotton Tape and Sliver</a:t>
            </a:r>
          </a:p>
        </c:rich>
      </c:tx>
      <c:layout>
        <c:manualLayout>
          <c:xMode val="edge"/>
          <c:yMode val="edge"/>
          <c:x val="0.29808176100628936"/>
          <c:y val="5.179282868525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C0-4527-91F3-D8F664C03B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C0-4527-91F3-D8F664C03B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C0-4527-91F3-D8F664C03B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C0-4527-91F3-D8F664C03B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DC0-4527-91F3-D8F664C03BB9}"/>
              </c:ext>
            </c:extLst>
          </c:dPt>
          <c:cat>
            <c:strRef>
              <c:f>Statistics!$A$12:$A$16</c:f>
              <c:strCache>
                <c:ptCount val="5"/>
                <c:pt idx="0">
                  <c:v>Лента</c:v>
                </c:pt>
                <c:pt idx="1">
                  <c:v>Нишка</c:v>
                </c:pt>
                <c:pt idx="2">
                  <c:v>Нишка+Лента</c:v>
                </c:pt>
                <c:pt idx="3">
                  <c:v>Инструменти</c:v>
                </c:pt>
                <c:pt idx="4">
                  <c:v>Корпус 6</c:v>
                </c:pt>
              </c:strCache>
            </c:strRef>
          </c:cat>
          <c:val>
            <c:numRef>
              <c:f>Statistics!$B$12:$B$16</c:f>
              <c:numCache>
                <c:formatCode>_-* #,##0.00\ [$лв.-402]_-;\-* #,##0.00\ [$лв.-402]_-;_-* "-"??\ [$лв.-402]_-;_-@_-</c:formatCode>
                <c:ptCount val="5"/>
                <c:pt idx="0">
                  <c:v>22166.007448</c:v>
                </c:pt>
                <c:pt idx="1">
                  <c:v>28507.923278899998</c:v>
                </c:pt>
                <c:pt idx="2">
                  <c:v>9931.2333875999975</c:v>
                </c:pt>
                <c:pt idx="3">
                  <c:v>622.11580000000015</c:v>
                </c:pt>
                <c:pt idx="4">
                  <c:v>12907.918829599997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59-44C1-977C-3A2B0904D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446942</xdr:colOff>
      <xdr:row>1</xdr:row>
      <xdr:rowOff>353890</xdr:rowOff>
    </xdr:from>
    <xdr:to>
      <xdr:col>7</xdr:col>
      <xdr:colOff>694592</xdr:colOff>
      <xdr:row>9</xdr:row>
      <xdr:rowOff>296740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7067F3-969A-34B3-229D-ACED1DAB4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494568</xdr:colOff>
      <xdr:row>9</xdr:row>
      <xdr:rowOff>733425</xdr:rowOff>
    </xdr:from>
    <xdr:to>
      <xdr:col>7</xdr:col>
      <xdr:colOff>713643</xdr:colOff>
      <xdr:row>16</xdr:row>
      <xdr:rowOff>390525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A1FCDAA-3A93-2467-69BC-06C8E4C49AA5}"/>
            </a:ext>
            <a:ext uri="{147F2762-F138-4A5C-976F-8EAC2B608ADB}">
              <a16:predDERef xmlns:a16="http://schemas.microsoft.com/office/drawing/2014/main" pred="{617067F3-969A-34B3-229D-ACED1DAB4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lim Kuytov" id="{D4396357-4F47-FE44-BC5C-7974675451CD}" userId="S::SalimKuytov@SKuytovPhotography.onmicrosoft.com::3ba13701-7792-4d89-b301-5853936428a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A40F83-5FB1-488C-BEA0-981042BA5A2C}" name="Table1" displayName="Table1" ref="A3:T410" totalsRowShown="0" headerRowDxfId="50">
  <autoFilter ref="A3:T410" xr:uid="{08A40F83-5FB1-488C-BEA0-981042BA5A2C}"/>
  <tableColumns count="20">
    <tableColumn id="1" xr3:uid="{6E9725F6-DF19-4257-9DF8-5BAC7669B289}" name="Описание артикул"/>
    <tableColumn id="2" xr3:uid="{15983E6C-29C6-452E-8D6E-2DBAC3EE0D7C}" name="Желано количество"/>
    <tableColumn id="11" xr3:uid="{47D7275E-C5E8-3B43-A9CB-3A015AD064A7}" name="Поръчано Количество"/>
    <tableColumn id="3" xr3:uid="{1ADA9FFE-BAB7-4A20-9958-A7470D5A7C8A}" name="Желана дата за доставка" dataDxfId="49"/>
    <tableColumn id="4" xr3:uid="{7A27D9AE-C072-4D59-AB65-89A9CA7C4072}" name="Машина"/>
    <tableColumn id="5" xr3:uid="{B1BFD2D9-DBFD-46AB-88E5-CE0D901FD8B3}" name="COM No."/>
    <tableColumn id="6" xr3:uid="{EBC36027-DB7B-49C7-89F5-A93948C8F0F7}" name="Submission (UTC)"/>
    <tableColumn id="7" xr3:uid="{B6D6E14C-EAC1-412C-9579-90082FBB0CAD}" name=" "/>
    <tableColumn id="10" xr3:uid="{05F91300-C09A-7F43-BC59-59C2B44F545D}" name="ID Запитване"/>
    <tableColumn id="8" xr3:uid="{15D6E136-0260-4B1D-A310-CA9780CBD359}" name="Доставчик"/>
    <tableColumn id="12" xr3:uid="{C2F4798B-0F4C-441C-A1AC-672081F5C8E1}" name="Очаквана дата на доставка" dataDxfId="48"/>
    <tableColumn id="13" xr3:uid="{C4BEF80F-F960-4BB8-9B4B-6F9FCBD095ED}" name="Товарителница"/>
    <tableColumn id="14" xr3:uid="{17167B2D-50DA-4311-A3EE-FB80EB3FADDC}" name="Реална доставка" dataDxfId="47"/>
    <tableColumn id="18" xr3:uid="{CE7D9A92-8EA2-4766-B7BA-D0F1D91D82D0}" name="Доставено количество"/>
    <tableColumn id="15" xr3:uid="{4D786B6B-2FBB-4ECE-BB3A-FF90B952F850}" name="Цена за 1 бр. в BGN" dataDxfId="46"/>
    <tableColumn id="19" xr3:uid="{E0BBDD7B-D23C-A64E-BDE6-85069A22032E}" name="Сума на поръчката в BGN" dataDxfId="45">
      <calculatedColumnFormula>Table1[[#This Row],[Цена за 1 бр. в BGN]]*Table1[[#This Row],[Поръчано Количество]]</calculatedColumnFormula>
    </tableColumn>
    <tableColumn id="16" xr3:uid="{3C64B63D-4F92-438E-B222-73ADA5A4FC59}" name="Фактура?"/>
    <tableColumn id="17" xr3:uid="{CC9F240B-B54B-44E3-8F71-152D7F907197}" name="Транспортни документи"/>
    <tableColumn id="20" xr3:uid="{C10FEE73-E758-49B2-B92C-88880AD9650B}" name="Requester Name" dataDxfId="44">
      <calculatedColumnFormula array="1">_xlfn.SWITCH(T4,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calculatedColumnFormula>
    </tableColumn>
    <tableColumn id="9" xr3:uid="{3259C51A-CE62-4194-B723-0538848C8908}" name="Requester 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9E438E-FD7B-4630-AE0B-470308F0B5D3}" name="Cotton_Buds" displayName="Cotton_Buds" ref="A1:S480" totalsRowShown="0" headerRowDxfId="43" dataDxfId="42">
  <autoFilter ref="A1:S480" xr:uid="{399E438E-FD7B-4630-AE0B-470308F0B5D3}"/>
  <tableColumns count="19">
    <tableColumn id="1" xr3:uid="{FB4D8D8E-3F8C-449D-9382-26478B8D70F4}" name="Описание артикул" dataDxfId="41"/>
    <tableColumn id="2" xr3:uid="{7AEED6D3-35E6-41AE-A403-F0B48901A9A3}" name="Желано количество" dataDxfId="40"/>
    <tableColumn id="10" xr3:uid="{5A38A292-BDF8-BE4D-85C2-12D3DFC4C972}" name="Поръчано Количество" dataDxfId="39"/>
    <tableColumn id="3" xr3:uid="{E00E3949-18B1-451C-96C0-9B60F56BE9AA}" name="Желана дата за доставка" dataDxfId="38"/>
    <tableColumn id="4" xr3:uid="{F569264F-7426-443E-867A-CF000F471F58}" name="Машина" dataDxfId="37"/>
    <tableColumn id="6" xr3:uid="{98EAE494-5370-4138-A805-3F2D79E615F6}" name="Submission (UTC)" dataDxfId="36"/>
    <tableColumn id="7" xr3:uid="{6173597D-6314-4710-A6FA-F0069B53A476}" name="Статус" dataDxfId="35"/>
    <tableColumn id="5" xr3:uid="{14E661C1-CF89-0648-9E45-8D3AD6809D93}" name="ID запитване" dataDxfId="34"/>
    <tableColumn id="8" xr3:uid="{C955F77A-272E-4FCA-A0DA-05F283AA4651}" name="Доставчик" dataDxfId="33"/>
    <tableColumn id="12" xr3:uid="{A65AB2C3-5927-4BE8-9610-E53D77EEA655}" name="Очаквана дата на доставка" dataDxfId="32"/>
    <tableColumn id="13" xr3:uid="{F7E18705-EACE-4F25-91AE-0EC3A5190A38}" name="Товарителница" dataDxfId="31"/>
    <tableColumn id="14" xr3:uid="{05917AB2-2EE3-4235-BA74-74CE6BB95BF7}" name="Реална доставка" dataDxfId="30"/>
    <tableColumn id="18" xr3:uid="{6CFCE46A-9838-4927-A483-3D8F5D6FAAB4}" name="Доставено количество" dataDxfId="29"/>
    <tableColumn id="15" xr3:uid="{2E415E43-CAEF-4FB8-8EA6-17C4E8ABC04B}" name="Цена за 1 бр. в BGN" dataDxfId="28">
      <calculatedColumnFormula>15*1.95568</calculatedColumnFormula>
    </tableColumn>
    <tableColumn id="9" xr3:uid="{515C9BE4-1D21-6B4C-A8C5-C9F102185CDA}" name="Сума на поръчката в BGN" dataDxfId="27">
      <calculatedColumnFormula>Cotton_Buds[[#This Row],[Цена за 1 бр. в BGN]]*Cotton_Buds[[#This Row],[Поръчано Количество]]</calculatedColumnFormula>
    </tableColumn>
    <tableColumn id="16" xr3:uid="{2A2B1D34-04B0-4D08-B254-5D25D3A4DE02}" name="Фактура?" dataDxfId="26"/>
    <tableColumn id="17" xr3:uid="{AA8079C3-809A-4E60-8BB9-943831EC17A9}" name="Транспортни документи" dataDxfId="25"/>
    <tableColumn id="19" xr3:uid="{D53A9F73-0217-459F-AA5F-E7B56835D97B}" name="Name" dataDxfId="24">
      <calculatedColumnFormula array="1">_xlfn.SWITCH(S2,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calculatedColumnFormula>
    </tableColumn>
    <tableColumn id="11" xr3:uid="{BE9C5148-9DAE-4852-BA38-CEE7C145B36D}" name="Requester email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8DF824-0103-4409-A037-B87FC6B14AC8}" name="Wet_Wipes" displayName="Wet_Wipes" ref="A3:S449" totalsRowShown="0" headerRowDxfId="22">
  <autoFilter ref="A3:S449" xr:uid="{08A40F83-5FB1-488C-BEA0-981042BA5A2C}"/>
  <tableColumns count="19">
    <tableColumn id="1" xr3:uid="{B60E754D-A280-4D03-BCC4-F2188AF58CC3}" name="Описание артикул"/>
    <tableColumn id="2" xr3:uid="{60B7DF0B-6B84-45B2-9302-42B22D064272}" name="Желано количество"/>
    <tableColumn id="10" xr3:uid="{81D24B68-0141-EE4B-BC7D-03C38D9A6E24}" name="Поръчано Количество" dataDxfId="21">
      <calculatedColumnFormula>Wet_Wipes[[#This Row],[Желано количество]]</calculatedColumnFormula>
    </tableColumn>
    <tableColumn id="3" xr3:uid="{2AE3EC54-1851-4D04-8E15-714F7985995D}" name="Желана дата за доставка" dataDxfId="20"/>
    <tableColumn id="4" xr3:uid="{845D53DA-17E2-4A5A-A2F0-40F84AAF29F3}" name="Машина"/>
    <tableColumn id="6" xr3:uid="{95A85EFE-A22A-4F32-A071-D6080D6C307A}" name="Submission (UTC)"/>
    <tableColumn id="5" xr3:uid="{3DC3705F-C2B8-3943-977C-0F147BE775C2}" name="ID Запитване" dataDxfId="19"/>
    <tableColumn id="7" xr3:uid="{DE768A7B-1020-4F54-BFAB-DB58EA7037B1}" name="Статус"/>
    <tableColumn id="8" xr3:uid="{332AFDF0-08A5-42AC-98D5-D842F1FB1900}" name="Доставчик"/>
    <tableColumn id="12" xr3:uid="{D125310A-9652-4913-A9CE-52A54750AE49}" name="Очаквана дата на доставка" dataDxfId="18"/>
    <tableColumn id="13" xr3:uid="{5F9B66D5-375D-4EA6-BC8A-140A242234C2}" name="Товарителница"/>
    <tableColumn id="14" xr3:uid="{197C2C03-2953-4875-9EDC-C4B68D48ED6E}" name="Реална доставка" dataDxfId="17"/>
    <tableColumn id="18" xr3:uid="{B216148F-B7EE-4B9B-999E-F95E9E6215E9}" name="Доставено количество"/>
    <tableColumn id="15" xr3:uid="{462A797C-FE40-48C9-AB6E-B0E5E5312B8C}" name="Цена за 1 бр. в BGN"/>
    <tableColumn id="9" xr3:uid="{581E6F0D-7EE5-A140-85C1-80E40CD23A27}" name="Сума на поръчката в BGN" dataDxfId="16">
      <calculatedColumnFormula>Wet_Wipes[[#This Row],[Цена за 1 бр. в BGN]]*Wet_Wipes[[#This Row],[Поръчано Количество]]</calculatedColumnFormula>
    </tableColumn>
    <tableColumn id="16" xr3:uid="{176EC038-FA32-4B1C-BC67-24A73911C830}" name="Фактура?"/>
    <tableColumn id="17" xr3:uid="{79DBD533-6522-435B-A023-CCC428927455}" name="Транспортни документи"/>
    <tableColumn id="19" xr3:uid="{027B34A9-9538-4E88-85F2-4727037D9465}" name="Name" dataDxfId="15">
      <calculatedColumnFormula array="1">_xlfn.SWITCH(S4,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calculatedColumnFormula>
    </tableColumn>
    <tableColumn id="11" xr3:uid="{A1546752-A63C-4344-B313-EF2BAC8A4A55}" name="Requester emai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7FBFA1-1E65-F546-B7D0-3F3D3BE17F60}" name="paper_sticks" displayName="paper_sticks" ref="A3:S95" totalsRowShown="0" headerRowDxfId="71" dataDxfId="70">
  <autoFilter ref="A3:S95" xr:uid="{607FBFA1-1E65-F546-B7D0-3F3D3BE17F60}"/>
  <tableColumns count="19">
    <tableColumn id="1" xr3:uid="{2A7860DD-3EE5-2A4A-929D-CEE05F69B107}" name="Описание артикул" dataDxfId="69"/>
    <tableColumn id="2" xr3:uid="{36574067-4D62-2F4A-ACED-C039B8CCFCC4}" name="Желано количество" dataDxfId="68"/>
    <tableColumn id="10" xr3:uid="{46300A2F-5266-7E4F-8FE9-E858D2903816}" name="Поръчано Количество" dataDxfId="67"/>
    <tableColumn id="3" xr3:uid="{3A519B19-8CE9-B946-BF7C-1ADAB907B1DD}" name="Желана дата за доставка" dataDxfId="66"/>
    <tableColumn id="4" xr3:uid="{91615F2B-50C8-744F-9064-C7CB8BFCEA9D}" name="Машина" dataDxfId="65"/>
    <tableColumn id="6" xr3:uid="{AD2C29A5-1877-5848-82E4-37FE49A01E32}" name="Submission (UTC)" dataDxfId="64"/>
    <tableColumn id="7" xr3:uid="{F0D15D33-DDB1-6F47-89FE-4B215021DBE3}" name="Статус" dataDxfId="63"/>
    <tableColumn id="5" xr3:uid="{1E4C7A7B-16E4-C442-A71F-3C62EC7DC845}" name="ID Запитване" dataDxfId="62"/>
    <tableColumn id="8" xr3:uid="{0D0F3FD1-F7B2-364E-9941-01C703F4C077}" name="Доставчик" dataDxfId="61"/>
    <tableColumn id="12" xr3:uid="{CB832FC6-4320-724E-824C-C60D7C2474AA}" name="Очаквана дата на доставка" dataDxfId="60"/>
    <tableColumn id="13" xr3:uid="{008C0179-7F8E-254A-9743-452560DF073E}" name="Товарителница" dataDxfId="59"/>
    <tableColumn id="14" xr3:uid="{127B420D-4A6A-8145-8D4D-CB1E7F4A6EE7}" name="Реална доставка" dataDxfId="58"/>
    <tableColumn id="18" xr3:uid="{190DDDB4-74E8-2B49-9B37-5F760AA497B4}" name="Доставено количество" dataDxfId="57"/>
    <tableColumn id="15" xr3:uid="{3D400E03-20BC-5D4D-AD7A-24E9B7F48E44}" name="Цена за 1 бр. в BGN" dataDxfId="56"/>
    <tableColumn id="9" xr3:uid="{FEB5A653-C906-E048-A03A-4C46C8F19E56}" name="Сума на поръчката в BGN" dataDxfId="55">
      <calculatedColumnFormula>paper_sticks[[#This Row],[Цена за 1 бр. в BGN]]*paper_sticks[[#This Row],[Поръчано Количество]]</calculatedColumnFormula>
    </tableColumn>
    <tableColumn id="16" xr3:uid="{D2B5ED20-202D-1F40-B34F-E0D5ADD60220}" name="Фактура?" dataDxfId="54"/>
    <tableColumn id="17" xr3:uid="{914FF5D8-A750-4248-8CB6-38E0E3C8DA37}" name="Транспортни документи" dataDxfId="53"/>
    <tableColumn id="19" xr3:uid="{8E0E6161-BC24-454C-8B60-C6BEA7DA07B4}" name="Name" dataDxfId="52">
      <calculatedColumnFormula array="1">_xlfn.SWITCH(S4,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calculatedColumnFormula>
    </tableColumn>
    <tableColumn id="11" xr3:uid="{E2D18C59-42C5-4BA0-A07E-F0DFA560AE10}" name="Requester email" dataDxfId="5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44" dT="2025-04-11T06:31:17.63" personId="{D4396357-4F47-FE44-BC5C-7974675451CD}" id="{69AB0C98-B1FA-404C-BD81-B7C8640C4C95}">
    <text>Към 11-04-2025 има 18 бр.</text>
  </threadedComment>
  <threadedComment ref="N183" dT="2025-05-16T07:56:52.54" personId="{D4396357-4F47-FE44-BC5C-7974675451CD}" id="{21E9031D-E701-4EF4-BB8F-32A1A1135C25}">
    <text>4,21</text>
  </threadedComment>
  <threadedComment ref="N184" dT="2025-05-16T07:57:07.99" personId="{D4396357-4F47-FE44-BC5C-7974675451CD}" id="{9E8808D9-2A49-49EC-9B46-CA65710DFE16}">
    <text>22,34</text>
  </threadedComment>
  <threadedComment ref="N185" dT="2025-05-16T07:57:15.23" personId="{D4396357-4F47-FE44-BC5C-7974675451CD}" id="{0EC07F90-A756-4754-A889-ACD299067E15}">
    <text>22,34</text>
  </threadedComment>
  <threadedComment ref="N186" dT="2025-05-16T07:57:36.93" personId="{D4396357-4F47-FE44-BC5C-7974675451CD}" id="{AAE5F550-BA21-440B-A5DB-2B0E46D3FFEF}">
    <text>28,96</text>
  </threadedComment>
  <threadedComment ref="N187" dT="2025-05-16T07:57:45.54" personId="{D4396357-4F47-FE44-BC5C-7974675451CD}" id="{B0397DAA-26AA-4938-A1B2-A645191B5DCA}">
    <text>28,96</text>
  </threadedComment>
  <threadedComment ref="N188" dT="2025-05-16T07:59:09.69" personId="{D4396357-4F47-FE44-BC5C-7974675451CD}" id="{0E26A437-18F3-4C8D-9279-861F1D314F62}">
    <text>22,34</text>
  </threadedComment>
  <threadedComment ref="N189" dT="2025-05-16T07:59:45.75" personId="{D4396357-4F47-FE44-BC5C-7974675451CD}" id="{98FDF483-F376-45F2-8034-F614DEF48E69}">
    <text xml:space="preserve">22,34
</text>
  </threadedComment>
  <threadedComment ref="N190" dT="2025-05-16T07:59:59.64" personId="{D4396357-4F47-FE44-BC5C-7974675451CD}" id="{4950772E-AF80-49E6-A76A-7707E14E0959}">
    <text>28,96</text>
  </threadedComment>
  <threadedComment ref="N191" dT="2025-05-16T08:00:05.70" personId="{D4396357-4F47-FE44-BC5C-7974675451CD}" id="{95004618-DE64-4E13-BFFB-C2E1945E2DCD}">
    <text>22,34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iilev@septona-bg.com" TargetMode="External"/><Relationship Id="rId7" Type="http://schemas.openxmlformats.org/officeDocument/2006/relationships/hyperlink" Target="mailto:iilev@septona-bg.com" TargetMode="External"/><Relationship Id="rId2" Type="http://schemas.openxmlformats.org/officeDocument/2006/relationships/hyperlink" Target="mailto:iilev@septona-bg.com" TargetMode="External"/><Relationship Id="rId1" Type="http://schemas.openxmlformats.org/officeDocument/2006/relationships/hyperlink" Target="mailto:iilev@septona-bg.com" TargetMode="External"/><Relationship Id="rId6" Type="http://schemas.openxmlformats.org/officeDocument/2006/relationships/hyperlink" Target="mailto:iilev@septona-bg.com" TargetMode="External"/><Relationship Id="rId5" Type="http://schemas.openxmlformats.org/officeDocument/2006/relationships/hyperlink" Target="mailto:iilev@septona-bg.com" TargetMode="External"/><Relationship Id="rId4" Type="http://schemas.openxmlformats.org/officeDocument/2006/relationships/hyperlink" Target="mailto:iilev@septona-bg.com" TargetMode="Externa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mailto:andy@skuytov.eu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andy@skuytov.eu" TargetMode="External"/><Relationship Id="rId1" Type="http://schemas.openxmlformats.org/officeDocument/2006/relationships/hyperlink" Target="mailto:andy@skuytov.eu" TargetMode="External"/><Relationship Id="rId6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iilev@septona-bg.com" TargetMode="External"/><Relationship Id="rId3" Type="http://schemas.openxmlformats.org/officeDocument/2006/relationships/hyperlink" Target="mailto:iilev@septona-bg.com" TargetMode="External"/><Relationship Id="rId7" Type="http://schemas.openxmlformats.org/officeDocument/2006/relationships/hyperlink" Target="mailto:iilev@septona-bg.com" TargetMode="External"/><Relationship Id="rId2" Type="http://schemas.openxmlformats.org/officeDocument/2006/relationships/hyperlink" Target="mailto:dmitev@septona-bg.com" TargetMode="External"/><Relationship Id="rId1" Type="http://schemas.openxmlformats.org/officeDocument/2006/relationships/hyperlink" Target="mailto:dmitev@septona-bg.com" TargetMode="External"/><Relationship Id="rId6" Type="http://schemas.openxmlformats.org/officeDocument/2006/relationships/hyperlink" Target="mailto:bgeorgiev@septona-bg.com" TargetMode="External"/><Relationship Id="rId11" Type="http://schemas.openxmlformats.org/officeDocument/2006/relationships/table" Target="../tables/table3.xml"/><Relationship Id="rId5" Type="http://schemas.openxmlformats.org/officeDocument/2006/relationships/hyperlink" Target="mailto:bgeorgiev@septona-bg.com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mailto:iilev@septona-bg.com" TargetMode="External"/><Relationship Id="rId9" Type="http://schemas.openxmlformats.org/officeDocument/2006/relationships/hyperlink" Target="mailto:dmitev@septona-bg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gabriel.georgiev@beckra.eu" TargetMode="External"/><Relationship Id="rId18" Type="http://schemas.openxmlformats.org/officeDocument/2006/relationships/hyperlink" Target="mailto:angelov@bultex99.com" TargetMode="External"/><Relationship Id="rId26" Type="http://schemas.openxmlformats.org/officeDocument/2006/relationships/hyperlink" Target="mailto:info@emmebi-impianti.it" TargetMode="External"/><Relationship Id="rId39" Type="http://schemas.openxmlformats.org/officeDocument/2006/relationships/hyperlink" Target="mailto:sales@plcdirect.eu" TargetMode="External"/><Relationship Id="rId21" Type="http://schemas.openxmlformats.org/officeDocument/2006/relationships/hyperlink" Target="mailto:office@veco.bg" TargetMode="External"/><Relationship Id="rId34" Type="http://schemas.openxmlformats.org/officeDocument/2006/relationships/hyperlink" Target="mailto:sales@meltmann.com" TargetMode="External"/><Relationship Id="rId7" Type="http://schemas.openxmlformats.org/officeDocument/2006/relationships/hyperlink" Target="mailto:s.stankov@kamatic.com" TargetMode="External"/><Relationship Id="rId12" Type="http://schemas.openxmlformats.org/officeDocument/2006/relationships/hyperlink" Target="mailto:info@sensomat.info" TargetMode="External"/><Relationship Id="rId17" Type="http://schemas.openxmlformats.org/officeDocument/2006/relationships/hyperlink" Target="mailto:office@rapid-valco.com" TargetMode="External"/><Relationship Id="rId25" Type="http://schemas.openxmlformats.org/officeDocument/2006/relationships/hyperlink" Target="mailto:nt@viautomation.bg%20%7C%20&#1053;&#1080;&#1082;&#1086;&#1083;&#1072;%20&#1058;&#1086;&#1076;&#1086;&#1088;&#1086;&#1074;%20-%20+359884273434" TargetMode="External"/><Relationship Id="rId33" Type="http://schemas.openxmlformats.org/officeDocument/2006/relationships/hyperlink" Target="mailto:sales@meltmann.com" TargetMode="External"/><Relationship Id="rId38" Type="http://schemas.openxmlformats.org/officeDocument/2006/relationships/hyperlink" Target="mailto:sales@ldg-bg.com" TargetMode="External"/><Relationship Id="rId2" Type="http://schemas.openxmlformats.org/officeDocument/2006/relationships/hyperlink" Target="mailto:francesco.polli@cbpackaging.it" TargetMode="External"/><Relationship Id="rId16" Type="http://schemas.openxmlformats.org/officeDocument/2006/relationships/hyperlink" Target="mailto:sales@akva.bg" TargetMode="External"/><Relationship Id="rId20" Type="http://schemas.openxmlformats.org/officeDocument/2006/relationships/hyperlink" Target="mailto:Tsvetelin.Ganchev@wuerth.bg" TargetMode="External"/><Relationship Id="rId29" Type="http://schemas.openxmlformats.org/officeDocument/2006/relationships/hyperlink" Target="mailto:sales@electris.biz" TargetMode="External"/><Relationship Id="rId1" Type="http://schemas.openxmlformats.org/officeDocument/2006/relationships/hyperlink" Target="mailto:martinkirov@smarttextilchemie.com" TargetMode="External"/><Relationship Id="rId6" Type="http://schemas.openxmlformats.org/officeDocument/2006/relationships/hyperlink" Target="mailto:i.vasev@impexron.bg" TargetMode="External"/><Relationship Id="rId11" Type="http://schemas.openxmlformats.org/officeDocument/2006/relationships/hyperlink" Target="mailto:v.chalov@baktrade.com" TargetMode="External"/><Relationship Id="rId24" Type="http://schemas.openxmlformats.org/officeDocument/2006/relationships/hyperlink" Target="mailto:office@brtechnika.com" TargetMode="External"/><Relationship Id="rId32" Type="http://schemas.openxmlformats.org/officeDocument/2006/relationships/hyperlink" Target="mailto:sales@di-soric.com" TargetMode="External"/><Relationship Id="rId37" Type="http://schemas.openxmlformats.org/officeDocument/2006/relationships/hyperlink" Target="mailto:info@esd.bg" TargetMode="External"/><Relationship Id="rId40" Type="http://schemas.openxmlformats.org/officeDocument/2006/relationships/printerSettings" Target="../printerSettings/printerSettings5.bin"/><Relationship Id="rId5" Type="http://schemas.openxmlformats.org/officeDocument/2006/relationships/hyperlink" Target="mailto:agradev@ld-gmbh.com" TargetMode="External"/><Relationship Id="rId15" Type="http://schemas.openxmlformats.org/officeDocument/2006/relationships/hyperlink" Target="mailto:mgm@mgmrestop.com" TargetMode="External"/><Relationship Id="rId23" Type="http://schemas.openxmlformats.org/officeDocument/2006/relationships/hyperlink" Target="mailto:yulia.yankova@comet.bg" TargetMode="External"/><Relationship Id="rId28" Type="http://schemas.openxmlformats.org/officeDocument/2006/relationships/hyperlink" Target="mailto:s.Stefanov@schrack.bg" TargetMode="External"/><Relationship Id="rId36" Type="http://schemas.openxmlformats.org/officeDocument/2006/relationships/hyperlink" Target="mailto:office@pilana.bg%20%7C%20&#1052;&#1086;&#1084;&#1095;&#1080;&#1083;%20&#1045;&#1085;&#1077;&#1074;%20%7C%20+359888302483" TargetMode="External"/><Relationship Id="rId10" Type="http://schemas.openxmlformats.org/officeDocument/2006/relationships/hyperlink" Target="mailto:g.vichev@smc.bg" TargetMode="External"/><Relationship Id="rId19" Type="http://schemas.openxmlformats.org/officeDocument/2006/relationships/hyperlink" Target="mailto:office@nagrevatel.eu" TargetMode="External"/><Relationship Id="rId31" Type="http://schemas.openxmlformats.org/officeDocument/2006/relationships/hyperlink" Target="mailto:office@vallder.com" TargetMode="External"/><Relationship Id="rId4" Type="http://schemas.openxmlformats.org/officeDocument/2006/relationships/hyperlink" Target="mailto:kalin.stamatov@festo.com" TargetMode="External"/><Relationship Id="rId9" Type="http://schemas.openxmlformats.org/officeDocument/2006/relationships/hyperlink" Target="mailto:radoslav_kafelov@tomis.bg" TargetMode="External"/><Relationship Id="rId14" Type="http://schemas.openxmlformats.org/officeDocument/2006/relationships/hyperlink" Target="mailto:ruse@viscom.bg" TargetMode="External"/><Relationship Id="rId22" Type="http://schemas.openxmlformats.org/officeDocument/2006/relationships/hyperlink" Target="mailto:office@nikol-n.com" TargetMode="External"/><Relationship Id="rId27" Type="http://schemas.openxmlformats.org/officeDocument/2006/relationships/hyperlink" Target="mailto:s.Stefanov@schrack.bg" TargetMode="External"/><Relationship Id="rId30" Type="http://schemas.openxmlformats.org/officeDocument/2006/relationships/hyperlink" Target="mailto:petko.petkov@endress.com" TargetMode="External"/><Relationship Id="rId35" Type="http://schemas.openxmlformats.org/officeDocument/2006/relationships/hyperlink" Target="mailto:Piotr.Kalarus@sglcarbon.com%3E" TargetMode="External"/><Relationship Id="rId8" Type="http://schemas.openxmlformats.org/officeDocument/2006/relationships/hyperlink" Target="mailto:spareparts@falu.com" TargetMode="External"/><Relationship Id="rId3" Type="http://schemas.openxmlformats.org/officeDocument/2006/relationships/hyperlink" Target="mailto:n.danchev@bis-e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91"/>
  <sheetViews>
    <sheetView showGridLines="0" zoomScale="115" zoomScaleNormal="115" workbookViewId="0">
      <pane ySplit="3" topLeftCell="A14" activePane="bottomLeft" state="frozen"/>
      <selection activeCell="G66" sqref="G66"/>
      <selection pane="bottomLeft" activeCell="A224" sqref="A224"/>
    </sheetView>
  </sheetViews>
  <sheetFormatPr defaultColWidth="8.85546875" defaultRowHeight="15" customHeight="1"/>
  <cols>
    <col min="1" max="1" width="59.42578125" customWidth="1"/>
    <col min="2" max="2" width="12.5703125" customWidth="1"/>
    <col min="3" max="3" width="11.42578125" customWidth="1"/>
    <col min="4" max="4" width="11.140625" customWidth="1"/>
    <col min="5" max="5" width="42.140625" customWidth="1"/>
    <col min="6" max="6" width="19.42578125" customWidth="1"/>
    <col min="7" max="7" width="17.42578125" customWidth="1"/>
    <col min="8" max="8" width="18" customWidth="1"/>
    <col min="9" max="9" width="16.28515625" customWidth="1"/>
    <col min="10" max="10" width="12.42578125" customWidth="1"/>
    <col min="11" max="11" width="15.140625" customWidth="1"/>
    <col min="12" max="12" width="18.28515625" customWidth="1"/>
    <col min="13" max="13" width="11.28515625" customWidth="1"/>
    <col min="14" max="14" width="16" customWidth="1"/>
    <col min="15" max="15" width="8.85546875" customWidth="1"/>
    <col min="16" max="16" width="10.28515625" customWidth="1"/>
    <col min="17" max="17" width="12.42578125" customWidth="1"/>
    <col min="18" max="21" width="22.7109375" customWidth="1"/>
    <col min="22" max="22" width="17.42578125" customWidth="1"/>
  </cols>
  <sheetData>
    <row r="1" spans="1:22" ht="9" customHeight="1"/>
    <row r="2" spans="1:22" ht="9" customHeight="1"/>
    <row r="3" spans="1:22" s="22" customFormat="1" ht="47.25" customHeight="1">
      <c r="A3" s="21" t="s">
        <v>0</v>
      </c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1" t="s">
        <v>7</v>
      </c>
      <c r="I3" s="21" t="s">
        <v>8</v>
      </c>
      <c r="J3" s="21" t="s">
        <v>9</v>
      </c>
      <c r="K3" s="21" t="s">
        <v>10</v>
      </c>
      <c r="L3" s="21" t="s">
        <v>11</v>
      </c>
      <c r="M3" s="21" t="s">
        <v>12</v>
      </c>
      <c r="N3" s="21" t="s">
        <v>13</v>
      </c>
      <c r="O3" s="21" t="s">
        <v>14</v>
      </c>
      <c r="P3" s="21" t="s">
        <v>15</v>
      </c>
      <c r="Q3" s="21" t="s">
        <v>16</v>
      </c>
      <c r="R3" s="21" t="s">
        <v>17</v>
      </c>
      <c r="S3" s="21" t="s">
        <v>18</v>
      </c>
      <c r="T3" s="21" t="s">
        <v>19</v>
      </c>
      <c r="U3" s="21"/>
      <c r="V3" s="21"/>
    </row>
    <row r="4" spans="1:22">
      <c r="A4" t="s">
        <v>20</v>
      </c>
      <c r="B4">
        <v>6</v>
      </c>
      <c r="D4" s="28">
        <v>45827</v>
      </c>
      <c r="E4" t="s">
        <v>21</v>
      </c>
      <c r="G4" s="30">
        <v>45807.569837962961</v>
      </c>
      <c r="H4" s="1" t="s">
        <v>22</v>
      </c>
      <c r="I4" t="s">
        <v>23</v>
      </c>
      <c r="J4" s="1" t="s">
        <v>24</v>
      </c>
      <c r="K4" s="31"/>
      <c r="M4" s="28"/>
      <c r="O4" s="24"/>
      <c r="P4" s="24">
        <f>Table1[[#This Row],[Цена за 1 бр. в BGN]]*Table1[[#This Row],[Поръчано Количество]]</f>
        <v>0</v>
      </c>
      <c r="Q4" s="1"/>
      <c r="S4" t="str" cm="1">
        <f t="array" ref="S4">_xlfn.SWITCH(T4,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" spans="1:22">
      <c r="A5" t="s">
        <v>25</v>
      </c>
      <c r="B5">
        <v>6</v>
      </c>
      <c r="D5" s="28">
        <v>45827</v>
      </c>
      <c r="E5" t="s">
        <v>21</v>
      </c>
      <c r="G5" s="30">
        <v>45807.5702662037</v>
      </c>
      <c r="H5" s="1" t="s">
        <v>22</v>
      </c>
      <c r="I5" t="s">
        <v>23</v>
      </c>
      <c r="J5" s="1" t="s">
        <v>24</v>
      </c>
      <c r="K5" s="31"/>
      <c r="M5" s="28"/>
      <c r="O5" s="24"/>
      <c r="P5" s="24">
        <f>Table1[[#This Row],[Цена за 1 бр. в BGN]]*Table1[[#This Row],[Поръчано Количество]]</f>
        <v>0</v>
      </c>
      <c r="Q5" s="1"/>
      <c r="S5" t="str" cm="1">
        <f t="array" ref="S5">_xlfn.SWITCH(T5,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" spans="1:22">
      <c r="A6" t="s">
        <v>26</v>
      </c>
      <c r="B6">
        <v>12</v>
      </c>
      <c r="D6" s="28">
        <v>45827</v>
      </c>
      <c r="E6" t="s">
        <v>21</v>
      </c>
      <c r="G6" s="30">
        <v>45807.570798611108</v>
      </c>
      <c r="H6" s="1" t="s">
        <v>22</v>
      </c>
      <c r="I6" t="s">
        <v>23</v>
      </c>
      <c r="J6" s="1" t="s">
        <v>24</v>
      </c>
      <c r="K6" s="31"/>
      <c r="M6" s="28"/>
      <c r="O6" s="24"/>
      <c r="P6" s="24">
        <f>Table1[[#This Row],[Цена за 1 бр. в BGN]]*Table1[[#This Row],[Поръчано Количество]]</f>
        <v>0</v>
      </c>
      <c r="Q6" s="1"/>
      <c r="S6" t="str" cm="1">
        <f t="array" ref="S6">_xlfn.SWITCH(T6,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" spans="1:22">
      <c r="A7" t="s">
        <v>27</v>
      </c>
      <c r="B7">
        <v>6</v>
      </c>
      <c r="D7" s="28">
        <v>45827</v>
      </c>
      <c r="E7" t="s">
        <v>21</v>
      </c>
      <c r="G7" s="30">
        <v>45807.571238425924</v>
      </c>
      <c r="H7" s="1" t="s">
        <v>22</v>
      </c>
      <c r="I7" t="s">
        <v>23</v>
      </c>
      <c r="J7" s="1" t="s">
        <v>24</v>
      </c>
      <c r="K7" s="31"/>
      <c r="M7" s="28"/>
      <c r="O7" s="24"/>
      <c r="P7" s="24">
        <f>Table1[[#This Row],[Цена за 1 бр. в BGN]]*Table1[[#This Row],[Поръчано Количество]]</f>
        <v>0</v>
      </c>
      <c r="Q7" s="1"/>
      <c r="S7" t="str" cm="1">
        <f t="array" ref="S7">_xlfn.SWITCH(T7,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" spans="1:22">
      <c r="A8" t="s">
        <v>28</v>
      </c>
      <c r="B8">
        <v>4</v>
      </c>
      <c r="D8" s="28">
        <v>45827</v>
      </c>
      <c r="E8" t="s">
        <v>21</v>
      </c>
      <c r="G8" s="30">
        <v>45808.182013888887</v>
      </c>
      <c r="H8" s="1" t="s">
        <v>22</v>
      </c>
      <c r="I8" t="s">
        <v>23</v>
      </c>
      <c r="J8" s="1" t="s">
        <v>24</v>
      </c>
      <c r="K8" s="31"/>
      <c r="M8" s="28"/>
      <c r="O8" s="24"/>
      <c r="P8" s="24">
        <f>Table1[[#This Row],[Цена за 1 бр. в BGN]]*Table1[[#This Row],[Поръчано Количество]]</f>
        <v>0</v>
      </c>
      <c r="Q8" s="1"/>
      <c r="S8" t="str" cm="1">
        <f t="array" ref="S8">_xlfn.SWITCH(T8,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" spans="1:22" ht="30">
      <c r="A9" s="1" t="s">
        <v>29</v>
      </c>
      <c r="B9">
        <v>3</v>
      </c>
      <c r="D9" s="28">
        <v>45855</v>
      </c>
      <c r="E9" t="s">
        <v>21</v>
      </c>
      <c r="G9" s="30">
        <v>45813.233749999999</v>
      </c>
      <c r="H9" s="1" t="s">
        <v>30</v>
      </c>
      <c r="J9" s="1" t="s">
        <v>31</v>
      </c>
      <c r="K9" s="31"/>
      <c r="M9" s="28"/>
      <c r="O9" s="24"/>
      <c r="P9" s="24">
        <f>Table1[[#This Row],[Цена за 1 бр. в BGN]]*Table1[[#This Row],[Поръчано Количество]]</f>
        <v>0</v>
      </c>
      <c r="Q9" s="1"/>
      <c r="S9" t="str" cm="1">
        <f t="array" ref="S9">_xlfn.SWITCH(T9,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" spans="1:22" ht="30">
      <c r="A10" t="s">
        <v>32</v>
      </c>
      <c r="B10" t="s">
        <v>33</v>
      </c>
      <c r="D10" s="28">
        <v>45826</v>
      </c>
      <c r="E10" t="s">
        <v>34</v>
      </c>
      <c r="G10" s="30">
        <v>45824.188703703701</v>
      </c>
      <c r="H10" s="1" t="s">
        <v>22</v>
      </c>
      <c r="J10" s="1" t="s">
        <v>35</v>
      </c>
      <c r="K10" s="31"/>
      <c r="M10" s="28"/>
      <c r="O10" s="24"/>
      <c r="P10" s="24">
        <f>Table1[[#This Row],[Цена за 1 бр. в BGN]]*Table1[[#This Row],[Поръчано Количество]]</f>
        <v>0</v>
      </c>
      <c r="Q10" s="1"/>
      <c r="S10" t="str" cm="1">
        <f t="array" ref="S10">_xlfn.SWITCH(T10,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" spans="1:22">
      <c r="A11" t="s">
        <v>36</v>
      </c>
      <c r="B11">
        <v>8</v>
      </c>
      <c r="C11">
        <v>4</v>
      </c>
      <c r="D11" s="28">
        <v>45827</v>
      </c>
      <c r="E11" t="s">
        <v>21</v>
      </c>
      <c r="G11" s="30">
        <v>45824.189166666663</v>
      </c>
      <c r="H11" s="1" t="s">
        <v>22</v>
      </c>
      <c r="I11">
        <v>17248967</v>
      </c>
      <c r="J11" s="1" t="s">
        <v>37</v>
      </c>
      <c r="K11" s="31">
        <v>45917</v>
      </c>
      <c r="M11" s="28"/>
      <c r="O11" s="24">
        <f>1.95583*791.4</f>
        <v>1547.8438619999999</v>
      </c>
      <c r="P11" s="24">
        <f>Table1[[#This Row],[Цена за 1 бр. в BGN]]*Table1[[#This Row],[Поръчано Количество]]</f>
        <v>6191.3754479999998</v>
      </c>
      <c r="Q11" s="1"/>
      <c r="S11" t="str" cm="1">
        <f t="array" ref="S11">_xlfn.SWITCH(T11,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" spans="1:22">
      <c r="A12" t="s">
        <v>38</v>
      </c>
      <c r="B12">
        <v>4</v>
      </c>
      <c r="D12" s="28">
        <v>45841</v>
      </c>
      <c r="E12" t="s">
        <v>21</v>
      </c>
      <c r="G12" s="30">
        <v>45826.475624999999</v>
      </c>
      <c r="H12" s="1"/>
      <c r="J12" s="1" t="s">
        <v>31</v>
      </c>
      <c r="K12" s="31"/>
      <c r="M12" s="28"/>
      <c r="O12" s="24"/>
      <c r="P12" s="24">
        <f>Table1[[#This Row],[Цена за 1 бр. в BGN]]*Table1[[#This Row],[Поръчано Количество]]</f>
        <v>0</v>
      </c>
      <c r="Q12" s="1"/>
      <c r="S12" t="str" cm="1">
        <f t="array" ref="S12">_xlfn.SWITCH(T12,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" spans="1:22">
      <c r="A13" t="s">
        <v>39</v>
      </c>
      <c r="B13">
        <v>12</v>
      </c>
      <c r="D13" s="28">
        <v>45840</v>
      </c>
      <c r="E13" t="s">
        <v>21</v>
      </c>
      <c r="G13" s="30">
        <v>45831.177037037036</v>
      </c>
      <c r="H13" s="1" t="s">
        <v>22</v>
      </c>
      <c r="I13" t="s">
        <v>23</v>
      </c>
      <c r="J13" s="1" t="s">
        <v>24</v>
      </c>
      <c r="K13" s="31"/>
      <c r="M13" s="28"/>
      <c r="O13" s="24"/>
      <c r="P13" s="24">
        <f>Table1[[#This Row],[Цена за 1 бр. в BGN]]*Table1[[#This Row],[Поръчано Количество]]</f>
        <v>0</v>
      </c>
      <c r="Q13" s="1"/>
      <c r="S13" t="str" cm="1">
        <f t="array" ref="S13">_xlfn.SWITCH(T13,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" spans="1:22">
      <c r="A14" t="s">
        <v>40</v>
      </c>
      <c r="B14">
        <v>100</v>
      </c>
      <c r="D14" s="28">
        <v>45848</v>
      </c>
      <c r="E14" t="s">
        <v>21</v>
      </c>
      <c r="G14" s="30">
        <v>45831.178912037038</v>
      </c>
      <c r="H14" s="1"/>
      <c r="J14" s="1"/>
      <c r="K14" s="31"/>
      <c r="M14" s="28"/>
      <c r="O14" s="24"/>
      <c r="P14" s="24">
        <f>Table1[[#This Row],[Цена за 1 бр. в BGN]]*Table1[[#This Row],[Поръчано Количество]]</f>
        <v>0</v>
      </c>
      <c r="Q14" s="1"/>
      <c r="S14" t="str" cm="1">
        <f t="array" ref="S14">_xlfn.SWITCH(T14,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" spans="1:22">
      <c r="A15" t="s">
        <v>38</v>
      </c>
      <c r="B15">
        <v>4</v>
      </c>
      <c r="D15" s="28">
        <v>45848</v>
      </c>
      <c r="E15" t="s">
        <v>21</v>
      </c>
      <c r="G15" s="30">
        <v>45831.181863425925</v>
      </c>
      <c r="H15" s="1"/>
      <c r="J15" s="1" t="s">
        <v>31</v>
      </c>
      <c r="K15" s="31"/>
      <c r="M15" s="28"/>
      <c r="O15" s="24"/>
      <c r="P15" s="24">
        <f>Table1[[#This Row],[Цена за 1 бр. в BGN]]*Table1[[#This Row],[Поръчано Количество]]</f>
        <v>0</v>
      </c>
      <c r="Q15" s="1"/>
      <c r="S15" t="str" cm="1">
        <f t="array" ref="S15">_xlfn.SWITCH(T15,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" spans="1:22" ht="90">
      <c r="A16" s="1" t="s">
        <v>41</v>
      </c>
      <c r="B16">
        <v>1</v>
      </c>
      <c r="D16" s="28">
        <v>45855</v>
      </c>
      <c r="E16" t="s">
        <v>21</v>
      </c>
      <c r="G16" s="30">
        <v>45831.312164351853</v>
      </c>
      <c r="H16" s="1" t="s">
        <v>42</v>
      </c>
      <c r="I16" t="s">
        <v>43</v>
      </c>
      <c r="J16" s="1" t="s">
        <v>44</v>
      </c>
      <c r="K16" s="31"/>
      <c r="M16" s="28"/>
      <c r="O16" s="24"/>
      <c r="P16" s="24">
        <f>Table1[[#This Row],[Цена за 1 бр. в BGN]]*Table1[[#This Row],[Поръчано Количество]]</f>
        <v>0</v>
      </c>
      <c r="Q16" s="1"/>
      <c r="S16" t="str" cm="1">
        <f t="array" ref="S16">_xlfn.SWITCH(T16,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" spans="1:19" ht="30">
      <c r="A17" t="s">
        <v>45</v>
      </c>
      <c r="B17">
        <v>2</v>
      </c>
      <c r="D17" s="28">
        <v>45841</v>
      </c>
      <c r="E17" t="s">
        <v>21</v>
      </c>
      <c r="G17" s="30">
        <v>45831.313819444447</v>
      </c>
      <c r="H17" s="1"/>
      <c r="J17" s="1" t="s">
        <v>46</v>
      </c>
      <c r="K17" s="31"/>
      <c r="M17" s="28"/>
      <c r="O17" s="24"/>
      <c r="P17" s="24">
        <f>Table1[[#This Row],[Цена за 1 бр. в BGN]]*Table1[[#This Row],[Поръчано Количество]]</f>
        <v>0</v>
      </c>
      <c r="Q17" s="1"/>
      <c r="S17" t="str" cm="1">
        <f t="array" ref="S17">_xlfn.SWITCH(T17,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" spans="1:19">
      <c r="A18" t="s">
        <v>47</v>
      </c>
      <c r="B18">
        <v>2</v>
      </c>
      <c r="D18" s="28">
        <v>45841</v>
      </c>
      <c r="E18" t="s">
        <v>21</v>
      </c>
      <c r="G18" s="30">
        <v>45831.320509259262</v>
      </c>
      <c r="H18" s="1"/>
      <c r="J18" s="1" t="s">
        <v>48</v>
      </c>
      <c r="K18" s="31"/>
      <c r="M18" s="28"/>
      <c r="O18" s="24"/>
      <c r="P18" s="24">
        <f>Table1[[#This Row],[Цена за 1 бр. в BGN]]*Table1[[#This Row],[Поръчано Количество]]</f>
        <v>0</v>
      </c>
      <c r="Q18" s="1"/>
      <c r="S18" t="str" cm="1">
        <f t="array" ref="S18">_xlfn.SWITCH(T18,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" spans="1:19">
      <c r="A19" t="s">
        <v>49</v>
      </c>
      <c r="B19">
        <v>8</v>
      </c>
      <c r="D19" s="28">
        <v>45848</v>
      </c>
      <c r="E19" t="s">
        <v>34</v>
      </c>
      <c r="G19" s="30">
        <v>45834.183159722219</v>
      </c>
      <c r="H19" s="1" t="s">
        <v>22</v>
      </c>
      <c r="I19" t="s">
        <v>23</v>
      </c>
      <c r="J19" s="1" t="s">
        <v>24</v>
      </c>
      <c r="K19" s="31"/>
      <c r="M19" s="28"/>
      <c r="O19" s="24"/>
      <c r="P19" s="24">
        <f>Table1[[#This Row],[Цена за 1 бр. в BGN]]*Table1[[#This Row],[Поръчано Количество]]</f>
        <v>0</v>
      </c>
      <c r="Q19" s="1"/>
      <c r="S19" t="str" cm="1">
        <f t="array" ref="S19">_xlfn.SWITCH(T19,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" spans="1:19" ht="30">
      <c r="A20" t="s">
        <v>50</v>
      </c>
      <c r="B20">
        <v>2</v>
      </c>
      <c r="C20">
        <v>2</v>
      </c>
      <c r="D20" s="28">
        <v>45841</v>
      </c>
      <c r="E20" t="s">
        <v>34</v>
      </c>
      <c r="G20" s="30">
        <v>45834.197824074072</v>
      </c>
      <c r="H20" s="1" t="s">
        <v>22</v>
      </c>
      <c r="J20" s="1" t="s">
        <v>51</v>
      </c>
      <c r="K20" s="31"/>
      <c r="M20" s="28"/>
      <c r="O20" s="24"/>
      <c r="P20" s="24">
        <f>Table1[[#This Row],[Цена за 1 бр. в BGN]]*Table1[[#This Row],[Поръчано Количество]]</f>
        <v>0</v>
      </c>
      <c r="Q20" s="1"/>
      <c r="S20" t="str" cm="1">
        <f t="array" ref="S20">_xlfn.SWITCH(T20,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" spans="1:19" ht="30">
      <c r="A21" t="s">
        <v>52</v>
      </c>
      <c r="B21">
        <v>6</v>
      </c>
      <c r="D21" s="28">
        <v>45842</v>
      </c>
      <c r="E21" t="s">
        <v>21</v>
      </c>
      <c r="G21" s="30">
        <v>45835.504467592589</v>
      </c>
      <c r="H21" s="1"/>
      <c r="J21" s="1" t="s">
        <v>46</v>
      </c>
      <c r="K21" s="31"/>
      <c r="M21" s="28"/>
      <c r="O21" s="24"/>
      <c r="P21" s="24">
        <f>Table1[[#This Row],[Цена за 1 бр. в BGN]]*Table1[[#This Row],[Поръчано Количество]]</f>
        <v>0</v>
      </c>
      <c r="Q21" s="1"/>
      <c r="S21" t="str" cm="1">
        <f t="array" ref="S21">_xlfn.SWITCH(T21,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" spans="1:19">
      <c r="A22" t="s">
        <v>53</v>
      </c>
      <c r="B22">
        <v>2</v>
      </c>
      <c r="D22" s="28">
        <v>45848</v>
      </c>
      <c r="E22" t="s">
        <v>21</v>
      </c>
      <c r="G22" s="30">
        <v>45836.208831018521</v>
      </c>
      <c r="H22" s="1" t="s">
        <v>22</v>
      </c>
      <c r="J22" s="1" t="s">
        <v>54</v>
      </c>
      <c r="K22" s="31"/>
      <c r="M22" s="28"/>
      <c r="O22" s="24"/>
      <c r="P22" s="24">
        <f>Table1[[#This Row],[Цена за 1 бр. в BGN]]*Table1[[#This Row],[Поръчано Количество]]</f>
        <v>0</v>
      </c>
      <c r="Q22" s="1"/>
      <c r="S22" t="str" cm="1">
        <f t="array" ref="S22">_xlfn.SWITCH(T22,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" spans="1:19">
      <c r="A23" t="s">
        <v>55</v>
      </c>
      <c r="B23">
        <v>2</v>
      </c>
      <c r="D23" s="28">
        <v>45848</v>
      </c>
      <c r="E23" t="s">
        <v>21</v>
      </c>
      <c r="G23" s="30">
        <v>45836.209907407407</v>
      </c>
      <c r="H23" s="1"/>
      <c r="J23" s="1" t="s">
        <v>54</v>
      </c>
      <c r="K23" s="31"/>
      <c r="M23" s="28"/>
      <c r="O23" s="24"/>
      <c r="P23" s="24">
        <f>Table1[[#This Row],[Цена за 1 бр. в BGN]]*Table1[[#This Row],[Поръчано Количество]]</f>
        <v>0</v>
      </c>
      <c r="Q23" s="1"/>
      <c r="S23" t="str" cm="1">
        <f t="array" ref="S23">_xlfn.SWITCH(T23,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" spans="1:19">
      <c r="A24" t="s">
        <v>56</v>
      </c>
      <c r="B24">
        <v>6</v>
      </c>
      <c r="D24" s="28">
        <v>45848</v>
      </c>
      <c r="E24" t="s">
        <v>21</v>
      </c>
      <c r="G24" s="30">
        <v>45836.211134259262</v>
      </c>
      <c r="H24" s="1"/>
      <c r="J24" s="1"/>
      <c r="K24" s="31"/>
      <c r="M24" s="28"/>
      <c r="O24" s="24"/>
      <c r="P24" s="24">
        <f>Table1[[#This Row],[Цена за 1 бр. в BGN]]*Table1[[#This Row],[Поръчано Количество]]</f>
        <v>0</v>
      </c>
      <c r="Q24" s="1"/>
      <c r="S24" t="str" cm="1">
        <f t="array" ref="S24">_xlfn.SWITCH(T24,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" spans="1:19">
      <c r="A25" t="s">
        <v>57</v>
      </c>
      <c r="B25">
        <v>200</v>
      </c>
      <c r="C25">
        <v>200</v>
      </c>
      <c r="D25" s="28">
        <v>45841</v>
      </c>
      <c r="E25" t="s">
        <v>21</v>
      </c>
      <c r="G25" s="30">
        <v>45838.166747685187</v>
      </c>
      <c r="H25" s="1" t="s">
        <v>22</v>
      </c>
      <c r="J25" s="1" t="s">
        <v>58</v>
      </c>
      <c r="K25" s="31"/>
      <c r="M25" s="28"/>
      <c r="O25" s="24">
        <f>98.35/100</f>
        <v>0.98349999999999993</v>
      </c>
      <c r="P25" s="24">
        <f>Table1[[#This Row],[Цена за 1 бр. в BGN]]*Table1[[#This Row],[Поръчано Количество]]</f>
        <v>196.7</v>
      </c>
      <c r="Q25" s="1"/>
      <c r="S25" t="str" cm="1">
        <f t="array" ref="S25">_xlfn.SWITCH(T25,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" spans="1:19">
      <c r="A26" t="s">
        <v>59</v>
      </c>
      <c r="B26">
        <v>150</v>
      </c>
      <c r="D26" s="28">
        <v>45841</v>
      </c>
      <c r="E26" t="s">
        <v>21</v>
      </c>
      <c r="G26" s="30">
        <v>45838.166990740741</v>
      </c>
      <c r="H26" s="1" t="s">
        <v>22</v>
      </c>
      <c r="J26" s="1" t="s">
        <v>58</v>
      </c>
      <c r="K26" s="31"/>
      <c r="M26" s="28"/>
      <c r="O26" s="24">
        <v>7.0000000000000007E-2</v>
      </c>
      <c r="P26" s="24">
        <f>Table1[[#This Row],[Цена за 1 бр. в BGN]]*Table1[[#This Row],[Поръчано Количество]]</f>
        <v>0</v>
      </c>
      <c r="Q26" s="1"/>
      <c r="S26" t="str" cm="1">
        <f t="array" ref="S26">_xlfn.SWITCH(T26,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" spans="1:19">
      <c r="A27" t="s">
        <v>60</v>
      </c>
      <c r="B27">
        <v>50</v>
      </c>
      <c r="D27" s="28">
        <v>45841</v>
      </c>
      <c r="E27" t="s">
        <v>21</v>
      </c>
      <c r="G27" s="30">
        <v>45838.167719907404</v>
      </c>
      <c r="H27" s="1" t="s">
        <v>22</v>
      </c>
      <c r="I27" t="s">
        <v>23</v>
      </c>
      <c r="J27" s="1" t="s">
        <v>24</v>
      </c>
      <c r="K27" s="31"/>
      <c r="M27" s="28"/>
      <c r="O27" s="24"/>
      <c r="P27" s="24">
        <f>Table1[[#This Row],[Цена за 1 бр. в BGN]]*Table1[[#This Row],[Поръчано Количество]]</f>
        <v>0</v>
      </c>
      <c r="Q27" s="1"/>
      <c r="S27" t="str" cm="1">
        <f t="array" ref="S27">_xlfn.SWITCH(T27,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8" spans="1:19" ht="30">
      <c r="A28" t="s">
        <v>61</v>
      </c>
      <c r="B28">
        <v>100</v>
      </c>
      <c r="D28" s="28">
        <v>45841</v>
      </c>
      <c r="E28" t="s">
        <v>21</v>
      </c>
      <c r="G28" s="30">
        <v>45838.168935185182</v>
      </c>
      <c r="H28" s="1" t="s">
        <v>22</v>
      </c>
      <c r="J28" s="1" t="s">
        <v>35</v>
      </c>
      <c r="K28" s="31"/>
      <c r="M28" s="28"/>
      <c r="O28" s="24"/>
      <c r="P28" s="24">
        <f>Table1[[#This Row],[Цена за 1 бр. в BGN]]*Table1[[#This Row],[Поръчано Количество]]</f>
        <v>0</v>
      </c>
      <c r="Q28" s="1"/>
      <c r="S28" t="str" cm="1">
        <f t="array" ref="S28">_xlfn.SWITCH(T28,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9" spans="1:19" ht="30">
      <c r="A29" t="s">
        <v>62</v>
      </c>
      <c r="B29">
        <v>3</v>
      </c>
      <c r="C29">
        <v>3</v>
      </c>
      <c r="D29" s="28">
        <v>45841</v>
      </c>
      <c r="E29" t="s">
        <v>63</v>
      </c>
      <c r="G29" s="30">
        <v>45838.321504629632</v>
      </c>
      <c r="H29" s="1" t="s">
        <v>22</v>
      </c>
      <c r="J29" s="1" t="s">
        <v>64</v>
      </c>
      <c r="K29" s="31"/>
      <c r="M29" s="28">
        <v>45917</v>
      </c>
      <c r="N29">
        <v>3</v>
      </c>
      <c r="O29" s="24">
        <v>8.1270000000000007</v>
      </c>
      <c r="P29" s="24">
        <f>Table1[[#This Row],[Цена за 1 бр. в BGN]]*Table1[[#This Row],[Поръчано Количество]]</f>
        <v>24.381</v>
      </c>
      <c r="Q29" s="1" t="s">
        <v>65</v>
      </c>
      <c r="S29" t="str" cm="1">
        <f t="array" ref="S29">_xlfn.SWITCH(T29,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0" spans="1:19">
      <c r="A30" t="s">
        <v>66</v>
      </c>
      <c r="B30">
        <v>4</v>
      </c>
      <c r="D30" s="28">
        <v>45841</v>
      </c>
      <c r="E30" t="s">
        <v>63</v>
      </c>
      <c r="G30" s="30">
        <v>45838.322106481479</v>
      </c>
      <c r="H30" s="1" t="s">
        <v>22</v>
      </c>
      <c r="I30" t="s">
        <v>67</v>
      </c>
      <c r="J30" s="1" t="s">
        <v>58</v>
      </c>
      <c r="K30" s="31"/>
      <c r="M30" s="28"/>
      <c r="O30" s="24"/>
      <c r="P30" s="24">
        <f>Table1[[#This Row],[Цена за 1 бр. в BGN]]*Table1[[#This Row],[Поръчано Количество]]</f>
        <v>0</v>
      </c>
      <c r="Q30" s="1"/>
      <c r="S30" t="str" cm="1">
        <f t="array" ref="S30">_xlfn.SWITCH(T30,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1" spans="1:19">
      <c r="A31" t="s">
        <v>68</v>
      </c>
      <c r="B31">
        <v>4</v>
      </c>
      <c r="D31" s="28">
        <v>45841</v>
      </c>
      <c r="E31" t="s">
        <v>63</v>
      </c>
      <c r="G31" s="30">
        <v>45838.322453703702</v>
      </c>
      <c r="H31" s="1" t="s">
        <v>22</v>
      </c>
      <c r="I31" t="s">
        <v>67</v>
      </c>
      <c r="J31" s="1" t="s">
        <v>69</v>
      </c>
      <c r="K31" s="31"/>
      <c r="M31" s="28"/>
      <c r="O31" s="24"/>
      <c r="P31" s="24">
        <f>Table1[[#This Row],[Цена за 1 бр. в BGN]]*Table1[[#This Row],[Поръчано Количество]]</f>
        <v>0</v>
      </c>
      <c r="Q31" s="1"/>
      <c r="S31" t="str" cm="1">
        <f t="array" ref="S31">_xlfn.SWITCH(T31,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2" spans="1:19">
      <c r="A32" t="s">
        <v>70</v>
      </c>
      <c r="B32">
        <v>4</v>
      </c>
      <c r="C32">
        <v>4</v>
      </c>
      <c r="D32" s="28">
        <v>45841</v>
      </c>
      <c r="E32" t="s">
        <v>63</v>
      </c>
      <c r="G32" s="30">
        <v>45838.322777777779</v>
      </c>
      <c r="H32" s="1" t="s">
        <v>22</v>
      </c>
      <c r="I32" t="s">
        <v>67</v>
      </c>
      <c r="J32" s="1" t="s">
        <v>64</v>
      </c>
      <c r="K32" s="31"/>
      <c r="M32" s="28"/>
      <c r="N32">
        <v>4</v>
      </c>
      <c r="O32" s="24">
        <v>3.3862999999999999</v>
      </c>
      <c r="P32" s="24">
        <f>Table1[[#This Row],[Цена за 1 бр. в BGN]]*Table1[[#This Row],[Поръчано Количество]]</f>
        <v>13.545199999999999</v>
      </c>
      <c r="Q32" s="1"/>
      <c r="S32" t="str" cm="1">
        <f t="array" ref="S32">_xlfn.SWITCH(T32,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3" spans="1:19">
      <c r="A33" t="s">
        <v>71</v>
      </c>
      <c r="B33">
        <v>10</v>
      </c>
      <c r="D33" s="28">
        <v>45841</v>
      </c>
      <c r="E33" t="s">
        <v>34</v>
      </c>
      <c r="G33" s="30">
        <v>45838.324050925927</v>
      </c>
      <c r="H33" s="1" t="s">
        <v>22</v>
      </c>
      <c r="I33" t="s">
        <v>72</v>
      </c>
      <c r="J33" s="1" t="s">
        <v>73</v>
      </c>
      <c r="K33" s="31"/>
      <c r="M33" s="28"/>
      <c r="O33" s="24"/>
      <c r="P33" s="24">
        <f>Table1[[#This Row],[Цена за 1 бр. в BGN]]*Table1[[#This Row],[Поръчано Количество]]</f>
        <v>0</v>
      </c>
      <c r="Q33" s="1"/>
      <c r="S33" t="str" cm="1">
        <f t="array" ref="S33">_xlfn.SWITCH(T33,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4" spans="1:19">
      <c r="A34" t="s">
        <v>74</v>
      </c>
      <c r="B34">
        <v>3</v>
      </c>
      <c r="D34" s="28">
        <v>45847</v>
      </c>
      <c r="E34" t="s">
        <v>63</v>
      </c>
      <c r="G34" s="30">
        <v>45840.265277777777</v>
      </c>
      <c r="H34" s="1" t="s">
        <v>22</v>
      </c>
      <c r="I34" t="s">
        <v>67</v>
      </c>
      <c r="J34" s="1" t="s">
        <v>75</v>
      </c>
      <c r="K34" s="31"/>
      <c r="M34" s="28"/>
      <c r="O34" s="24"/>
      <c r="P34" s="24">
        <f>Table1[[#This Row],[Цена за 1 бр. в BGN]]*Table1[[#This Row],[Поръчано Количество]]</f>
        <v>0</v>
      </c>
      <c r="Q34" s="1"/>
      <c r="S34" t="str" cm="1">
        <f t="array" ref="S34">_xlfn.SWITCH(T34,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5" spans="1:19" ht="30">
      <c r="A35" t="s">
        <v>76</v>
      </c>
      <c r="B35">
        <v>3</v>
      </c>
      <c r="C35">
        <v>3</v>
      </c>
      <c r="D35" s="28">
        <v>45846</v>
      </c>
      <c r="E35" t="s">
        <v>63</v>
      </c>
      <c r="G35" s="30">
        <v>45840.278900462959</v>
      </c>
      <c r="H35" s="1" t="s">
        <v>22</v>
      </c>
      <c r="I35" t="s">
        <v>67</v>
      </c>
      <c r="J35" s="1" t="s">
        <v>75</v>
      </c>
      <c r="K35" s="31"/>
      <c r="M35" s="28"/>
      <c r="N35">
        <v>3</v>
      </c>
      <c r="O35" s="24">
        <v>6.4436</v>
      </c>
      <c r="P35" s="24">
        <f>Table1[[#This Row],[Цена за 1 бр. в BGN]]*Table1[[#This Row],[Поръчано Количество]]</f>
        <v>19.3308</v>
      </c>
      <c r="Q35" s="1" t="s">
        <v>65</v>
      </c>
      <c r="S35" t="str" cm="1">
        <f t="array" ref="S35">_xlfn.SWITCH(T35,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6" spans="1:19" ht="30">
      <c r="A36" t="s">
        <v>77</v>
      </c>
      <c r="B36">
        <v>2</v>
      </c>
      <c r="C36">
        <v>2</v>
      </c>
      <c r="D36" s="28">
        <v>45846</v>
      </c>
      <c r="E36" t="s">
        <v>63</v>
      </c>
      <c r="G36" s="30">
        <v>45840.279074074075</v>
      </c>
      <c r="H36" s="1" t="s">
        <v>22</v>
      </c>
      <c r="I36" t="s">
        <v>67</v>
      </c>
      <c r="J36" s="1" t="s">
        <v>75</v>
      </c>
      <c r="K36" s="31"/>
      <c r="M36" s="28"/>
      <c r="N36">
        <v>2</v>
      </c>
      <c r="O36" s="24">
        <v>11.2338</v>
      </c>
      <c r="P36" s="24">
        <f>Table1[[#This Row],[Цена за 1 бр. в BGN]]*Table1[[#This Row],[Поръчано Количество]]</f>
        <v>22.467600000000001</v>
      </c>
      <c r="Q36" s="1" t="s">
        <v>65</v>
      </c>
      <c r="S36" t="str" cm="1">
        <f t="array" ref="S36">_xlfn.SWITCH(T36,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7" spans="1:19" ht="30">
      <c r="A37" t="s">
        <v>78</v>
      </c>
      <c r="B37">
        <v>3</v>
      </c>
      <c r="C37">
        <v>3</v>
      </c>
      <c r="D37" s="28">
        <v>45840</v>
      </c>
      <c r="E37" t="s">
        <v>63</v>
      </c>
      <c r="G37" s="30">
        <v>45840.280162037037</v>
      </c>
      <c r="H37" s="1" t="s">
        <v>22</v>
      </c>
      <c r="I37" t="s">
        <v>67</v>
      </c>
      <c r="J37" s="1" t="s">
        <v>75</v>
      </c>
      <c r="K37" s="31"/>
      <c r="M37" s="28"/>
      <c r="O37" s="24"/>
      <c r="P37" s="24">
        <f>Table1[[#This Row],[Цена за 1 бр. в BGN]]*Table1[[#This Row],[Поръчано Количество]]</f>
        <v>0</v>
      </c>
      <c r="Q37" s="1" t="s">
        <v>65</v>
      </c>
      <c r="S37" t="str" cm="1">
        <f t="array" ref="S37">_xlfn.SWITCH(T37,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8" spans="1:19" ht="30">
      <c r="A38" t="s">
        <v>79</v>
      </c>
      <c r="B38">
        <v>3</v>
      </c>
      <c r="C38">
        <v>3</v>
      </c>
      <c r="D38" s="28">
        <v>45840</v>
      </c>
      <c r="E38" t="s">
        <v>63</v>
      </c>
      <c r="G38" s="30">
        <v>45840.280787037038</v>
      </c>
      <c r="H38" s="1" t="s">
        <v>22</v>
      </c>
      <c r="I38" t="s">
        <v>67</v>
      </c>
      <c r="J38" s="1" t="s">
        <v>75</v>
      </c>
      <c r="K38" s="31"/>
      <c r="M38" s="28"/>
      <c r="N38">
        <v>3</v>
      </c>
      <c r="O38" s="24">
        <v>1.877</v>
      </c>
      <c r="P38" s="24">
        <f>Table1[[#This Row],[Цена за 1 бр. в BGN]]*Table1[[#This Row],[Поръчано Количество]]</f>
        <v>5.6310000000000002</v>
      </c>
      <c r="Q38" s="1" t="s">
        <v>65</v>
      </c>
      <c r="S38" t="str" cm="1">
        <f t="array" ref="S38">_xlfn.SWITCH(T38,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9" spans="1:19" ht="30">
      <c r="A39" t="s">
        <v>80</v>
      </c>
      <c r="B39">
        <v>3</v>
      </c>
      <c r="C39">
        <v>3</v>
      </c>
      <c r="D39" s="28">
        <v>45840</v>
      </c>
      <c r="E39" t="s">
        <v>63</v>
      </c>
      <c r="G39" s="30">
        <v>45840.280995370369</v>
      </c>
      <c r="H39" s="1" t="s">
        <v>22</v>
      </c>
      <c r="I39" t="s">
        <v>67</v>
      </c>
      <c r="J39" s="1" t="s">
        <v>75</v>
      </c>
      <c r="K39" s="31"/>
      <c r="M39" s="28"/>
      <c r="N39">
        <v>3</v>
      </c>
      <c r="O39" s="24">
        <v>2.0333999999999999</v>
      </c>
      <c r="P39" s="24">
        <f>Table1[[#This Row],[Цена за 1 бр. в BGN]]*Table1[[#This Row],[Поръчано Количество]]</f>
        <v>6.1001999999999992</v>
      </c>
      <c r="Q39" s="1" t="s">
        <v>65</v>
      </c>
      <c r="S39" t="str" cm="1">
        <f t="array" ref="S39">_xlfn.SWITCH(T39,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0" spans="1:19">
      <c r="A40" t="s">
        <v>81</v>
      </c>
      <c r="B40">
        <v>4</v>
      </c>
      <c r="C40">
        <v>4</v>
      </c>
      <c r="D40" s="28">
        <v>45854</v>
      </c>
      <c r="E40" t="s">
        <v>21</v>
      </c>
      <c r="G40" s="30">
        <v>45840.281469907408</v>
      </c>
      <c r="H40" s="1" t="s">
        <v>22</v>
      </c>
      <c r="I40" t="s">
        <v>23</v>
      </c>
      <c r="J40" s="1" t="s">
        <v>24</v>
      </c>
      <c r="K40" s="31"/>
      <c r="M40" s="28"/>
      <c r="N40">
        <v>1</v>
      </c>
      <c r="O40" s="24">
        <v>45.15</v>
      </c>
      <c r="P40" s="24">
        <f>Table1[[#This Row],[Цена за 1 бр. в BGN]]*Table1[[#This Row],[Поръчано Количество]]</f>
        <v>180.6</v>
      </c>
      <c r="Q40" s="1"/>
      <c r="S40" t="str" cm="1">
        <f t="array" ref="S40">_xlfn.SWITCH(T40,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1" spans="1:19">
      <c r="A41" t="s">
        <v>82</v>
      </c>
      <c r="B41">
        <v>2</v>
      </c>
      <c r="D41" s="28">
        <v>45840</v>
      </c>
      <c r="E41" t="s">
        <v>63</v>
      </c>
      <c r="G41" s="30">
        <v>45840.279490740744</v>
      </c>
      <c r="H41" s="1" t="s">
        <v>22</v>
      </c>
      <c r="I41" t="s">
        <v>67</v>
      </c>
      <c r="J41" s="1" t="s">
        <v>75</v>
      </c>
      <c r="K41" s="31"/>
      <c r="M41" s="28"/>
      <c r="O41" s="24"/>
      <c r="P41" s="24">
        <f>Table1[[#This Row],[Цена за 1 бр. в BGN]]*Table1[[#This Row],[Поръчано Количество]]</f>
        <v>0</v>
      </c>
      <c r="Q41" s="1"/>
      <c r="S41" t="str" cm="1">
        <f t="array" ref="S41">_xlfn.SWITCH(T41,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2" spans="1:19">
      <c r="A42" t="s">
        <v>83</v>
      </c>
      <c r="B42">
        <v>6</v>
      </c>
      <c r="D42" s="28">
        <v>45848</v>
      </c>
      <c r="E42" t="s">
        <v>21</v>
      </c>
      <c r="G42" s="30">
        <v>45840.380254629628</v>
      </c>
      <c r="H42" s="1"/>
      <c r="J42" s="1" t="s">
        <v>84</v>
      </c>
      <c r="K42" s="31"/>
      <c r="M42" s="28"/>
      <c r="O42" s="24"/>
      <c r="P42" s="24">
        <f>Table1[[#This Row],[Цена за 1 бр. в BGN]]*Table1[[#This Row],[Поръчано Количество]]</f>
        <v>0</v>
      </c>
      <c r="Q42" s="1"/>
      <c r="S42" t="str" cm="1">
        <f t="array" ref="S42">_xlfn.SWITCH(T42,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3" spans="1:19">
      <c r="A43" t="s">
        <v>85</v>
      </c>
      <c r="B43">
        <v>2</v>
      </c>
      <c r="C43">
        <v>2</v>
      </c>
      <c r="D43" s="28">
        <v>45855</v>
      </c>
      <c r="E43" t="s">
        <v>63</v>
      </c>
      <c r="G43" s="30">
        <v>45854.199212962965</v>
      </c>
      <c r="H43" s="1" t="s">
        <v>22</v>
      </c>
      <c r="J43" s="1" t="s">
        <v>58</v>
      </c>
      <c r="K43" s="31"/>
      <c r="M43" s="28"/>
      <c r="O43" s="24"/>
      <c r="P43" s="24">
        <f>Table1[[#This Row],[Цена за 1 бр. в BGN]]*Table1[[#This Row],[Поръчано Количество]]</f>
        <v>0</v>
      </c>
      <c r="Q43" s="1"/>
      <c r="S43" t="str" cm="1">
        <f t="array" ref="S43">_xlfn.SWITCH(T43,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4" spans="1:19" ht="45">
      <c r="A44" t="s">
        <v>86</v>
      </c>
      <c r="B44">
        <v>4</v>
      </c>
      <c r="D44" s="28">
        <v>45855</v>
      </c>
      <c r="E44" t="s">
        <v>87</v>
      </c>
      <c r="G44" s="30">
        <v>45854.500509259262</v>
      </c>
      <c r="H44" s="1" t="s">
        <v>22</v>
      </c>
      <c r="J44" s="1" t="s">
        <v>88</v>
      </c>
      <c r="K44" s="31"/>
      <c r="M44" s="28"/>
      <c r="O44" s="24"/>
      <c r="P44" s="24">
        <f>Table1[[#This Row],[Цена за 1 бр. в BGN]]*Table1[[#This Row],[Поръчано Количество]]</f>
        <v>0</v>
      </c>
      <c r="Q44" s="1"/>
      <c r="S44" t="str" cm="1">
        <f t="array" ref="S44">_xlfn.SWITCH(T44,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5" spans="1:19">
      <c r="A45" t="s">
        <v>89</v>
      </c>
      <c r="B45">
        <v>4</v>
      </c>
      <c r="C45">
        <v>4</v>
      </c>
      <c r="D45" s="28">
        <v>45722</v>
      </c>
      <c r="E45" t="s">
        <v>21</v>
      </c>
      <c r="G45" s="30">
        <v>45714.43855324074</v>
      </c>
      <c r="H45" t="s">
        <v>22</v>
      </c>
      <c r="I45" t="s">
        <v>90</v>
      </c>
      <c r="J45" t="s">
        <v>31</v>
      </c>
      <c r="K45" s="28">
        <v>45736</v>
      </c>
      <c r="M45" s="28"/>
      <c r="O45" s="24">
        <v>39.119999999999997</v>
      </c>
      <c r="P45" s="24">
        <f>Table1[[#This Row],[Цена за 1 бр. в BGN]]*Table1[[#This Row],[Поръчано Количество]]</f>
        <v>156.47999999999999</v>
      </c>
      <c r="S45" t="str" cm="1">
        <f t="array" ref="S45">_xlfn.SWITCH(T45,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6" spans="1:19" ht="30">
      <c r="A46" t="s">
        <v>91</v>
      </c>
      <c r="B46">
        <v>6</v>
      </c>
      <c r="D46" s="28">
        <v>45723</v>
      </c>
      <c r="E46" t="s">
        <v>92</v>
      </c>
      <c r="G46" s="30">
        <v>45716.241562499999</v>
      </c>
      <c r="H46" s="1" t="s">
        <v>42</v>
      </c>
      <c r="J46" t="s">
        <v>48</v>
      </c>
      <c r="K46" s="28"/>
      <c r="M46" s="28"/>
      <c r="O46" s="24"/>
      <c r="P46" s="24">
        <f>Table1[[#This Row],[Цена за 1 бр. в BGN]]*Table1[[#This Row],[Поръчано Количество]]</f>
        <v>0</v>
      </c>
      <c r="S46" t="str" cm="1">
        <f t="array" ref="S46">_xlfn.SWITCH(T46,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7" spans="1:19">
      <c r="A47" t="s">
        <v>93</v>
      </c>
      <c r="B47">
        <v>3</v>
      </c>
      <c r="D47" s="28">
        <v>45723</v>
      </c>
      <c r="E47" t="s">
        <v>63</v>
      </c>
      <c r="G47" s="30">
        <v>45716.242071759261</v>
      </c>
      <c r="H47" s="1" t="s">
        <v>22</v>
      </c>
      <c r="I47" t="s">
        <v>94</v>
      </c>
      <c r="J47" t="s">
        <v>75</v>
      </c>
      <c r="K47" s="28">
        <v>45692</v>
      </c>
      <c r="M47" s="28"/>
      <c r="O47" s="24"/>
      <c r="P47" s="24">
        <f>Table1[[#This Row],[Цена за 1 бр. в BGN]]*Table1[[#This Row],[Поръчано Количество]]</f>
        <v>0</v>
      </c>
      <c r="S47" t="str" cm="1">
        <f t="array" ref="S47">_xlfn.SWITCH(T47,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8" spans="1:19">
      <c r="A48" t="s">
        <v>95</v>
      </c>
      <c r="B48">
        <v>3</v>
      </c>
      <c r="D48" s="28">
        <v>45723</v>
      </c>
      <c r="E48" t="s">
        <v>92</v>
      </c>
      <c r="G48" s="30">
        <v>45716.242314814815</v>
      </c>
      <c r="H48" s="1" t="s">
        <v>22</v>
      </c>
      <c r="I48" t="s">
        <v>94</v>
      </c>
      <c r="J48" t="s">
        <v>75</v>
      </c>
      <c r="K48" s="28">
        <v>45692</v>
      </c>
      <c r="M48" s="28"/>
      <c r="O48" s="24"/>
      <c r="P48" s="24">
        <f>Table1[[#This Row],[Цена за 1 бр. в BGN]]*Table1[[#This Row],[Поръчано Количество]]</f>
        <v>0</v>
      </c>
      <c r="S48" t="str" cm="1">
        <f t="array" ref="S48">_xlfn.SWITCH(T48,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9" spans="1:19">
      <c r="A49" t="s">
        <v>96</v>
      </c>
      <c r="B49">
        <v>3</v>
      </c>
      <c r="D49" s="28">
        <v>45723</v>
      </c>
      <c r="E49" t="s">
        <v>63</v>
      </c>
      <c r="G49" s="30">
        <v>45716.242858796293</v>
      </c>
      <c r="H49" s="1" t="s">
        <v>22</v>
      </c>
      <c r="I49" t="s">
        <v>94</v>
      </c>
      <c r="J49" t="s">
        <v>75</v>
      </c>
      <c r="K49" s="28">
        <v>45692</v>
      </c>
      <c r="M49" s="28"/>
      <c r="O49" s="24"/>
      <c r="P49" s="24">
        <f>Table1[[#This Row],[Цена за 1 бр. в BGN]]*Table1[[#This Row],[Поръчано Количество]]</f>
        <v>0</v>
      </c>
      <c r="S49" t="str" cm="1">
        <f t="array" ref="S49">_xlfn.SWITCH(T49,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0" spans="1:19">
      <c r="A50" t="s">
        <v>97</v>
      </c>
      <c r="B50">
        <v>3</v>
      </c>
      <c r="D50" s="28">
        <v>45723</v>
      </c>
      <c r="E50" t="s">
        <v>92</v>
      </c>
      <c r="G50" s="30">
        <v>45716.243206018517</v>
      </c>
      <c r="H50" s="1" t="s">
        <v>22</v>
      </c>
      <c r="I50" t="s">
        <v>94</v>
      </c>
      <c r="J50" t="s">
        <v>75</v>
      </c>
      <c r="K50" s="28">
        <v>45692</v>
      </c>
      <c r="M50" s="28"/>
      <c r="O50" s="24"/>
      <c r="P50" s="24">
        <f>Table1[[#This Row],[Цена за 1 бр. в BGN]]*Table1[[#This Row],[Поръчано Количество]]</f>
        <v>0</v>
      </c>
      <c r="S50" t="str" cm="1">
        <f t="array" ref="S50">_xlfn.SWITCH(T50,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1" spans="1:19">
      <c r="A51" t="s">
        <v>98</v>
      </c>
      <c r="B51">
        <v>1</v>
      </c>
      <c r="C51">
        <v>1</v>
      </c>
      <c r="D51" s="28">
        <v>45723</v>
      </c>
      <c r="E51" t="s">
        <v>63</v>
      </c>
      <c r="G51" s="30">
        <v>45716.243425925924</v>
      </c>
      <c r="H51" t="s">
        <v>22</v>
      </c>
      <c r="I51">
        <v>161900</v>
      </c>
      <c r="J51" t="s">
        <v>58</v>
      </c>
      <c r="K51" s="28">
        <v>45722</v>
      </c>
      <c r="M51" s="28">
        <v>45722</v>
      </c>
      <c r="O51" s="24">
        <v>37.869999999999997</v>
      </c>
      <c r="P51" s="24">
        <f>Table1[[#This Row],[Цена за 1 бр. в BGN]]*Table1[[#This Row],[Поръчано Количество]]</f>
        <v>37.869999999999997</v>
      </c>
      <c r="S51" t="str" cm="1">
        <f t="array" ref="S51">_xlfn.SWITCH(T51,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2" spans="1:19">
      <c r="A52" t="s">
        <v>99</v>
      </c>
      <c r="B52">
        <v>10</v>
      </c>
      <c r="C52">
        <v>10</v>
      </c>
      <c r="D52" s="28">
        <v>45723</v>
      </c>
      <c r="E52" t="s">
        <v>92</v>
      </c>
      <c r="G52" s="30">
        <v>45716.273240740738</v>
      </c>
      <c r="H52" s="1" t="s">
        <v>22</v>
      </c>
      <c r="I52" t="s">
        <v>100</v>
      </c>
      <c r="J52" t="s">
        <v>101</v>
      </c>
      <c r="K52" s="28">
        <v>45779</v>
      </c>
      <c r="M52" s="28"/>
      <c r="O52" s="24">
        <v>230.15</v>
      </c>
      <c r="P52" s="24">
        <f>Table1[[#This Row],[Цена за 1 бр. в BGN]]*Table1[[#This Row],[Поръчано Количество]]</f>
        <v>2301.5</v>
      </c>
      <c r="S52" t="str" cm="1">
        <f t="array" ref="S52">_xlfn.SWITCH(T52,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3" spans="1:19">
      <c r="A53" s="1" t="s">
        <v>102</v>
      </c>
      <c r="B53">
        <v>10</v>
      </c>
      <c r="C53">
        <v>20</v>
      </c>
      <c r="D53" s="28">
        <v>45723</v>
      </c>
      <c r="E53" t="s">
        <v>92</v>
      </c>
      <c r="G53" s="30">
        <v>45716.27516203704</v>
      </c>
      <c r="H53" t="s">
        <v>22</v>
      </c>
      <c r="I53" t="s">
        <v>103</v>
      </c>
      <c r="J53" t="s">
        <v>104</v>
      </c>
      <c r="K53" s="28">
        <v>45748</v>
      </c>
      <c r="M53" s="28">
        <v>45748</v>
      </c>
      <c r="O53" s="24">
        <v>11.86</v>
      </c>
      <c r="P53" s="24">
        <f>Table1[[#This Row],[Цена за 1 бр. в BGN]]*Table1[[#This Row],[Поръчано Количество]]</f>
        <v>237.2</v>
      </c>
      <c r="S53" t="str" cm="1">
        <f t="array" ref="S53">_xlfn.SWITCH(T53,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4" spans="1:19">
      <c r="A54" t="s">
        <v>105</v>
      </c>
      <c r="B54">
        <v>30</v>
      </c>
      <c r="C54">
        <v>30</v>
      </c>
      <c r="D54" s="28">
        <v>45723</v>
      </c>
      <c r="E54" t="s">
        <v>92</v>
      </c>
      <c r="G54" s="30">
        <v>45716.275682870371</v>
      </c>
      <c r="H54" t="s">
        <v>22</v>
      </c>
      <c r="I54">
        <v>161900</v>
      </c>
      <c r="J54" t="s">
        <v>58</v>
      </c>
      <c r="K54" s="28">
        <v>45722</v>
      </c>
      <c r="M54" s="28">
        <v>45722</v>
      </c>
      <c r="O54" s="24">
        <v>0.106333</v>
      </c>
      <c r="P54" s="24">
        <f>Table1[[#This Row],[Цена за 1 бр. в BGN]]*Table1[[#This Row],[Поръчано Количество]]</f>
        <v>3.1899899999999999</v>
      </c>
      <c r="S54" t="str" cm="1">
        <f t="array" ref="S54">_xlfn.SWITCH(T54,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5" spans="1:19">
      <c r="A55" t="s">
        <v>106</v>
      </c>
      <c r="B55">
        <v>30</v>
      </c>
      <c r="C55">
        <v>30</v>
      </c>
      <c r="D55" s="28">
        <v>45723</v>
      </c>
      <c r="E55" t="s">
        <v>92</v>
      </c>
      <c r="G55" s="30">
        <v>45716.275879629633</v>
      </c>
      <c r="H55" t="s">
        <v>22</v>
      </c>
      <c r="I55">
        <v>161900</v>
      </c>
      <c r="J55" t="s">
        <v>58</v>
      </c>
      <c r="K55" s="28">
        <v>45722</v>
      </c>
      <c r="M55" s="28">
        <v>45722</v>
      </c>
      <c r="O55" s="24">
        <v>0.1186</v>
      </c>
      <c r="P55" s="24">
        <f>Table1[[#This Row],[Цена за 1 бр. в BGN]]*Table1[[#This Row],[Поръчано Количество]]</f>
        <v>3.5579999999999998</v>
      </c>
      <c r="S55" t="str" cm="1">
        <f t="array" ref="S55">_xlfn.SWITCH(T55,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6" spans="1:19">
      <c r="A56" t="s">
        <v>107</v>
      </c>
      <c r="B56">
        <v>30</v>
      </c>
      <c r="C56">
        <v>30</v>
      </c>
      <c r="D56" s="28">
        <v>45723</v>
      </c>
      <c r="E56" t="s">
        <v>92</v>
      </c>
      <c r="G56" s="30">
        <v>45716.276134259257</v>
      </c>
      <c r="H56" t="s">
        <v>22</v>
      </c>
      <c r="I56">
        <v>161900</v>
      </c>
      <c r="J56" t="s">
        <v>58</v>
      </c>
      <c r="K56" s="28">
        <v>45722</v>
      </c>
      <c r="M56" s="28">
        <v>45722</v>
      </c>
      <c r="O56" s="24">
        <v>0.13100000000000001</v>
      </c>
      <c r="P56" s="24">
        <f>Table1[[#This Row],[Цена за 1 бр. в BGN]]*Table1[[#This Row],[Поръчано Количество]]</f>
        <v>3.93</v>
      </c>
      <c r="S56" t="str" cm="1">
        <f t="array" ref="S56">_xlfn.SWITCH(T56,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7" spans="1:19">
      <c r="A57" t="s">
        <v>108</v>
      </c>
      <c r="B57">
        <v>30</v>
      </c>
      <c r="C57">
        <v>30</v>
      </c>
      <c r="D57" s="28">
        <v>45723</v>
      </c>
      <c r="E57" t="s">
        <v>92</v>
      </c>
      <c r="G57" s="30">
        <v>45716.276435185187</v>
      </c>
      <c r="H57" t="s">
        <v>22</v>
      </c>
      <c r="I57">
        <v>161900</v>
      </c>
      <c r="J57" t="s">
        <v>58</v>
      </c>
      <c r="K57" s="28">
        <v>45722</v>
      </c>
      <c r="M57" s="28">
        <v>45722</v>
      </c>
      <c r="O57" s="24">
        <v>0.14330000000000001</v>
      </c>
      <c r="P57" s="24">
        <f>Table1[[#This Row],[Цена за 1 бр. в BGN]]*Table1[[#This Row],[Поръчано Количество]]</f>
        <v>4.2990000000000004</v>
      </c>
      <c r="S57" t="str" cm="1">
        <f t="array" ref="S57">_xlfn.SWITCH(T57,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8" spans="1:19">
      <c r="A58" t="s">
        <v>109</v>
      </c>
      <c r="B58">
        <v>100</v>
      </c>
      <c r="C58">
        <v>200</v>
      </c>
      <c r="D58" s="28">
        <v>45723</v>
      </c>
      <c r="E58" t="s">
        <v>92</v>
      </c>
      <c r="G58" s="30">
        <v>45716.276736111111</v>
      </c>
      <c r="H58" t="s">
        <v>22</v>
      </c>
      <c r="I58">
        <v>161900</v>
      </c>
      <c r="J58" t="s">
        <v>58</v>
      </c>
      <c r="K58" s="28">
        <v>45722</v>
      </c>
      <c r="M58" s="28">
        <v>45722</v>
      </c>
      <c r="O58" s="24">
        <v>2.1299999999999999E-2</v>
      </c>
      <c r="P58" s="24">
        <f>Table1[[#This Row],[Цена за 1 бр. в BGN]]*Table1[[#This Row],[Поръчано Количество]]</f>
        <v>4.26</v>
      </c>
      <c r="S58" t="str" cm="1">
        <f t="array" ref="S58">_xlfn.SWITCH(T58,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9" spans="1:19">
      <c r="A59" t="s">
        <v>110</v>
      </c>
      <c r="B59">
        <v>10</v>
      </c>
      <c r="C59">
        <v>10</v>
      </c>
      <c r="D59" s="28">
        <v>45723</v>
      </c>
      <c r="E59" t="s">
        <v>92</v>
      </c>
      <c r="G59" s="30">
        <v>45716.277511574073</v>
      </c>
      <c r="H59" s="1" t="s">
        <v>22</v>
      </c>
      <c r="I59" t="s">
        <v>111</v>
      </c>
      <c r="J59" t="s">
        <v>112</v>
      </c>
      <c r="K59" s="28"/>
      <c r="M59" s="28">
        <v>45771</v>
      </c>
      <c r="N59">
        <v>10</v>
      </c>
      <c r="O59" s="24">
        <v>35.92</v>
      </c>
      <c r="P59" s="24">
        <f>Table1[[#This Row],[Цена за 1 бр. в BGN]]*Table1[[#This Row],[Поръчано Количество]]</f>
        <v>359.20000000000005</v>
      </c>
      <c r="S59" t="str" cm="1">
        <f t="array" ref="S59">_xlfn.SWITCH(T59,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0" spans="1:19">
      <c r="A60" t="s">
        <v>113</v>
      </c>
      <c r="B60">
        <v>6</v>
      </c>
      <c r="C60">
        <v>8</v>
      </c>
      <c r="D60" s="28">
        <v>45723</v>
      </c>
      <c r="E60" t="s">
        <v>21</v>
      </c>
      <c r="G60" s="30">
        <v>45716.278171296297</v>
      </c>
      <c r="H60" t="s">
        <v>22</v>
      </c>
      <c r="J60" t="s">
        <v>114</v>
      </c>
      <c r="K60" s="28">
        <v>45742</v>
      </c>
      <c r="M60" s="28"/>
      <c r="O60" s="24"/>
      <c r="P60" s="24">
        <f>Table1[[#This Row],[Цена за 1 бр. в BGN]]*Table1[[#This Row],[Поръчано Количество]]</f>
        <v>0</v>
      </c>
      <c r="S60" t="str" cm="1">
        <f t="array" ref="S60">_xlfn.SWITCH(T60,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1" spans="1:19">
      <c r="A61" t="s">
        <v>115</v>
      </c>
      <c r="B61">
        <v>4</v>
      </c>
      <c r="C61">
        <v>4</v>
      </c>
      <c r="D61" s="28">
        <v>45716</v>
      </c>
      <c r="E61" t="s">
        <v>87</v>
      </c>
      <c r="G61" s="30">
        <v>45716.279618055552</v>
      </c>
      <c r="H61" t="s">
        <v>22</v>
      </c>
      <c r="I61" t="s">
        <v>116</v>
      </c>
      <c r="J61" t="s">
        <v>73</v>
      </c>
      <c r="K61" s="28"/>
      <c r="M61" s="28">
        <v>45723</v>
      </c>
      <c r="N61">
        <v>4</v>
      </c>
      <c r="O61" s="24">
        <v>108.16</v>
      </c>
      <c r="P61" s="24">
        <f>Table1[[#This Row],[Цена за 1 бр. в BGN]]*Table1[[#This Row],[Поръчано Количество]]</f>
        <v>432.64</v>
      </c>
      <c r="S61" t="str" cm="1">
        <f t="array" ref="S61">_xlfn.SWITCH(T61,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2" spans="1:19">
      <c r="A62" t="s">
        <v>117</v>
      </c>
      <c r="B62">
        <v>4</v>
      </c>
      <c r="C62">
        <v>4</v>
      </c>
      <c r="D62" s="28">
        <v>45716</v>
      </c>
      <c r="E62" t="s">
        <v>87</v>
      </c>
      <c r="G62" s="30">
        <v>45716.280729166669</v>
      </c>
      <c r="H62" t="s">
        <v>22</v>
      </c>
      <c r="I62" t="s">
        <v>118</v>
      </c>
      <c r="J62" t="s">
        <v>73</v>
      </c>
      <c r="K62" s="28"/>
      <c r="M62" s="28">
        <v>45723</v>
      </c>
      <c r="N62">
        <v>4</v>
      </c>
      <c r="O62" s="24">
        <v>74.13</v>
      </c>
      <c r="P62" s="24">
        <f>Table1[[#This Row],[Цена за 1 бр. в BGN]]*Table1[[#This Row],[Поръчано Количество]]</f>
        <v>296.52</v>
      </c>
      <c r="S62" t="str" cm="1">
        <f t="array" ref="S62">_xlfn.SWITCH(T62,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3" spans="1:19" ht="30">
      <c r="A63" t="s">
        <v>119</v>
      </c>
      <c r="B63">
        <v>1</v>
      </c>
      <c r="C63">
        <v>1</v>
      </c>
      <c r="D63" s="28">
        <v>45716</v>
      </c>
      <c r="E63" t="s">
        <v>92</v>
      </c>
      <c r="G63" s="30">
        <v>45716.281145833331</v>
      </c>
      <c r="H63" t="s">
        <v>22</v>
      </c>
      <c r="I63" t="s">
        <v>94</v>
      </c>
      <c r="J63" s="1" t="s">
        <v>120</v>
      </c>
      <c r="K63" s="28">
        <v>45834</v>
      </c>
      <c r="M63" s="28">
        <v>45834</v>
      </c>
      <c r="N63">
        <v>1</v>
      </c>
      <c r="O63" s="24">
        <v>179.1</v>
      </c>
      <c r="P63" s="24">
        <f>Table1[[#This Row],[Цена за 1 бр. в BGN]]*Table1[[#This Row],[Поръчано Количество]]</f>
        <v>179.1</v>
      </c>
      <c r="Q63" t="s">
        <v>121</v>
      </c>
      <c r="R63" t="s">
        <v>122</v>
      </c>
      <c r="S63" t="str" cm="1">
        <f t="array" ref="S63">_xlfn.SWITCH(T63,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4" spans="1:19" ht="30">
      <c r="A64" t="s">
        <v>123</v>
      </c>
      <c r="B64">
        <v>1</v>
      </c>
      <c r="C64">
        <v>1</v>
      </c>
      <c r="D64" s="28">
        <v>45716</v>
      </c>
      <c r="E64" t="s">
        <v>92</v>
      </c>
      <c r="G64" s="30">
        <v>45716.281493055554</v>
      </c>
      <c r="H64" t="s">
        <v>22</v>
      </c>
      <c r="I64" t="s">
        <v>94</v>
      </c>
      <c r="J64" s="1" t="s">
        <v>120</v>
      </c>
      <c r="K64" s="28">
        <v>45834</v>
      </c>
      <c r="M64" s="28">
        <v>45834</v>
      </c>
      <c r="N64">
        <v>1</v>
      </c>
      <c r="O64" s="24">
        <v>206.7</v>
      </c>
      <c r="P64" s="24">
        <f>Table1[[#This Row],[Цена за 1 бр. в BGN]]*Table1[[#This Row],[Поръчано Количество]]</f>
        <v>206.7</v>
      </c>
      <c r="Q64" t="s">
        <v>121</v>
      </c>
      <c r="R64" t="s">
        <v>122</v>
      </c>
      <c r="S64" t="str" cm="1">
        <f t="array" ref="S64">_xlfn.SWITCH(T64,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5" spans="1:19">
      <c r="A65" t="s">
        <v>124</v>
      </c>
      <c r="B65">
        <v>2</v>
      </c>
      <c r="D65" s="28">
        <v>45716</v>
      </c>
      <c r="E65" t="s">
        <v>92</v>
      </c>
      <c r="G65" s="30">
        <v>45716.283935185187</v>
      </c>
      <c r="H65" t="s">
        <v>22</v>
      </c>
      <c r="K65" s="28"/>
      <c r="M65" s="28"/>
      <c r="O65" s="24"/>
      <c r="P65" s="24">
        <f>Table1[[#This Row],[Цена за 1 бр. в BGN]]*Table1[[#This Row],[Поръчано Количество]]</f>
        <v>0</v>
      </c>
      <c r="S65" t="str" cm="1">
        <f t="array" ref="S65">_xlfn.SWITCH(T65,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6" spans="1:19">
      <c r="A66" t="s">
        <v>125</v>
      </c>
      <c r="B66">
        <v>2</v>
      </c>
      <c r="D66" s="28">
        <v>45716</v>
      </c>
      <c r="E66" t="s">
        <v>92</v>
      </c>
      <c r="G66" s="30">
        <v>45716.284247685187</v>
      </c>
      <c r="H66" t="s">
        <v>22</v>
      </c>
      <c r="K66" s="28"/>
      <c r="M66" s="28"/>
      <c r="O66" s="24"/>
      <c r="P66" s="24">
        <f>Table1[[#This Row],[Цена за 1 бр. в BGN]]*Table1[[#This Row],[Поръчано Количество]]</f>
        <v>0</v>
      </c>
      <c r="S66" t="str" cm="1">
        <f t="array" ref="S66">_xlfn.SWITCH(T66,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7" spans="1:19">
      <c r="A67" t="s">
        <v>126</v>
      </c>
      <c r="B67">
        <v>1</v>
      </c>
      <c r="C67">
        <v>1</v>
      </c>
      <c r="D67" s="28">
        <v>45716</v>
      </c>
      <c r="E67" t="s">
        <v>87</v>
      </c>
      <c r="F67">
        <v>155672</v>
      </c>
      <c r="G67" s="30">
        <v>45716.286828703705</v>
      </c>
      <c r="H67" t="s">
        <v>22</v>
      </c>
      <c r="I67" s="1" t="s">
        <v>127</v>
      </c>
      <c r="J67" t="s">
        <v>128</v>
      </c>
      <c r="K67" s="28">
        <v>45777</v>
      </c>
      <c r="M67" s="28"/>
      <c r="O67" s="24">
        <f>5837.82*1.95568</f>
        <v>11416.9078176</v>
      </c>
      <c r="P67" s="24">
        <f>Table1[[#This Row],[Цена за 1 бр. в BGN]]*Table1[[#This Row],[Поръчано Количество]]</f>
        <v>11416.9078176</v>
      </c>
      <c r="S67" t="str" cm="1">
        <f t="array" ref="S67">_xlfn.SWITCH(T67,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8" spans="1:19">
      <c r="A68" t="s">
        <v>129</v>
      </c>
      <c r="B68">
        <v>5</v>
      </c>
      <c r="D68" s="28">
        <v>45716</v>
      </c>
      <c r="E68" t="s">
        <v>92</v>
      </c>
      <c r="G68" s="30">
        <v>45716.293275462966</v>
      </c>
      <c r="H68" t="s">
        <v>30</v>
      </c>
      <c r="I68" s="1"/>
      <c r="K68" s="28"/>
      <c r="M68" s="28"/>
      <c r="O68" s="24"/>
      <c r="P68" s="24">
        <f>Table1[[#This Row],[Цена за 1 бр. в BGN]]*Table1[[#This Row],[Поръчано Количество]]</f>
        <v>0</v>
      </c>
      <c r="S68" t="str" cm="1">
        <f t="array" ref="S68">_xlfn.SWITCH(T68,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9" spans="1:19" ht="30">
      <c r="A69" s="1" t="s">
        <v>130</v>
      </c>
      <c r="B69">
        <v>5</v>
      </c>
      <c r="C69">
        <v>5</v>
      </c>
      <c r="D69" s="28">
        <v>45716</v>
      </c>
      <c r="E69" t="s">
        <v>92</v>
      </c>
      <c r="G69" s="30">
        <v>45716.294108796297</v>
      </c>
      <c r="H69" t="s">
        <v>22</v>
      </c>
      <c r="I69" s="1" t="s">
        <v>131</v>
      </c>
      <c r="J69" t="s">
        <v>132</v>
      </c>
      <c r="K69" s="28">
        <v>45749</v>
      </c>
      <c r="M69" s="28">
        <v>45754</v>
      </c>
      <c r="N69">
        <v>5</v>
      </c>
      <c r="O69" s="24">
        <f>1.9558*320</f>
        <v>625.85599999999999</v>
      </c>
      <c r="P69" s="24">
        <f>Table1[[#This Row],[Цена за 1 бр. в BGN]]*Table1[[#This Row],[Поръчано Количество]]</f>
        <v>3129.2799999999997</v>
      </c>
      <c r="S69" t="str" cm="1">
        <f t="array" ref="S69">_xlfn.SWITCH(T69,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0" spans="1:19">
      <c r="A70" t="s">
        <v>133</v>
      </c>
      <c r="B70">
        <v>1</v>
      </c>
      <c r="D70" s="28">
        <v>45723</v>
      </c>
      <c r="E70" t="s">
        <v>92</v>
      </c>
      <c r="G70" s="30">
        <v>45716.537928240738</v>
      </c>
      <c r="H70" t="s">
        <v>30</v>
      </c>
      <c r="I70" s="1"/>
      <c r="K70" s="28"/>
      <c r="M70" s="28"/>
      <c r="O70" s="24"/>
      <c r="P70" s="24">
        <f>Table1[[#This Row],[Цена за 1 бр. в BGN]]*Table1[[#This Row],[Поръчано Количество]]</f>
        <v>0</v>
      </c>
      <c r="S70" t="str" cm="1">
        <f t="array" ref="S70">_xlfn.SWITCH(T70,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1" spans="1:19">
      <c r="A71" t="s">
        <v>134</v>
      </c>
      <c r="B71">
        <v>1</v>
      </c>
      <c r="D71" s="28">
        <v>45723</v>
      </c>
      <c r="E71" t="s">
        <v>21</v>
      </c>
      <c r="G71" s="30">
        <v>45717.481759259259</v>
      </c>
      <c r="H71" t="s">
        <v>135</v>
      </c>
      <c r="I71" s="1"/>
      <c r="K71" s="28"/>
      <c r="M71" s="28"/>
      <c r="O71" s="24"/>
      <c r="P71" s="24">
        <f>Table1[[#This Row],[Цена за 1 бр. в BGN]]*Table1[[#This Row],[Поръчано Количество]]</f>
        <v>0</v>
      </c>
      <c r="S71" t="str" cm="1">
        <f t="array" ref="S71">_xlfn.SWITCH(T71,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2" spans="1:19">
      <c r="A72" t="s">
        <v>136</v>
      </c>
      <c r="B72">
        <v>1</v>
      </c>
      <c r="C72">
        <v>1</v>
      </c>
      <c r="D72" s="28">
        <v>45815</v>
      </c>
      <c r="E72" t="s">
        <v>92</v>
      </c>
      <c r="G72" s="30">
        <v>45717.48337962963</v>
      </c>
      <c r="H72" t="s">
        <v>22</v>
      </c>
      <c r="I72" s="1"/>
      <c r="J72" t="s">
        <v>137</v>
      </c>
      <c r="K72" s="28">
        <v>45818</v>
      </c>
      <c r="M72" s="28"/>
      <c r="O72" s="24">
        <v>2358.36</v>
      </c>
      <c r="P72" s="24">
        <f>Table1[[#This Row],[Цена за 1 бр. в BGN]]*Table1[[#This Row],[Поръчано Количество]]</f>
        <v>2358.36</v>
      </c>
      <c r="S72" t="str" cm="1">
        <f t="array" ref="S72">_xlfn.SWITCH(T72,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3" spans="1:19">
      <c r="A73" t="s">
        <v>138</v>
      </c>
      <c r="B73">
        <v>1</v>
      </c>
      <c r="C73">
        <v>1</v>
      </c>
      <c r="D73" s="28">
        <v>45722</v>
      </c>
      <c r="E73" t="s">
        <v>63</v>
      </c>
      <c r="G73" s="30">
        <v>45720.504189814812</v>
      </c>
      <c r="H73" t="s">
        <v>22</v>
      </c>
      <c r="I73" s="1">
        <v>161900</v>
      </c>
      <c r="J73" t="s">
        <v>58</v>
      </c>
      <c r="K73" s="28">
        <v>45722</v>
      </c>
      <c r="M73" s="28">
        <v>45722</v>
      </c>
      <c r="N73">
        <v>1</v>
      </c>
      <c r="O73" s="24">
        <v>17.71</v>
      </c>
      <c r="P73" s="24">
        <f>Table1[[#This Row],[Цена за 1 бр. в BGN]]*Table1[[#This Row],[Поръчано Количество]]</f>
        <v>17.71</v>
      </c>
      <c r="S73" t="str" cm="1">
        <f t="array" ref="S73">_xlfn.SWITCH(T73,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4" spans="1:19">
      <c r="A74" t="s">
        <v>139</v>
      </c>
      <c r="B74">
        <v>1</v>
      </c>
      <c r="C74">
        <v>1</v>
      </c>
      <c r="D74" s="28">
        <v>45748</v>
      </c>
      <c r="E74" t="s">
        <v>92</v>
      </c>
      <c r="G74" s="30">
        <v>45721.200983796298</v>
      </c>
      <c r="H74" t="s">
        <v>22</v>
      </c>
      <c r="I74" s="1" t="s">
        <v>140</v>
      </c>
      <c r="J74" t="s">
        <v>46</v>
      </c>
      <c r="K74" s="28">
        <v>45727</v>
      </c>
      <c r="M74" s="28">
        <v>45726</v>
      </c>
      <c r="N74">
        <v>1</v>
      </c>
      <c r="O74" s="24">
        <v>578.15</v>
      </c>
      <c r="P74" s="24">
        <f>Table1[[#This Row],[Цена за 1 бр. в BGN]]*Table1[[#This Row],[Поръчано Количество]]</f>
        <v>578.15</v>
      </c>
      <c r="S74" t="str" cm="1">
        <f t="array" ref="S74">_xlfn.SWITCH(T74,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5" spans="1:19">
      <c r="A75" t="s">
        <v>141</v>
      </c>
      <c r="B75">
        <v>2</v>
      </c>
      <c r="C75">
        <v>2</v>
      </c>
      <c r="D75" s="28">
        <v>45721</v>
      </c>
      <c r="E75" t="s">
        <v>87</v>
      </c>
      <c r="F75">
        <v>169917</v>
      </c>
      <c r="G75" s="30">
        <v>45721.312743055554</v>
      </c>
      <c r="H75" t="s">
        <v>22</v>
      </c>
      <c r="I75" s="1" t="s">
        <v>142</v>
      </c>
      <c r="J75" t="s">
        <v>128</v>
      </c>
      <c r="K75" s="28">
        <v>45726</v>
      </c>
      <c r="L75" t="s">
        <v>143</v>
      </c>
      <c r="M75" s="28">
        <v>45724</v>
      </c>
      <c r="N75">
        <v>2</v>
      </c>
      <c r="O75" s="24">
        <f>340*1.9558</f>
        <v>664.97199999999998</v>
      </c>
      <c r="P75" s="24">
        <f>Table1[[#This Row],[Цена за 1 бр. в BGN]]*Table1[[#This Row],[Поръчано Количество]]</f>
        <v>1329.944</v>
      </c>
      <c r="S75" t="str" cm="1">
        <f t="array" ref="S75">_xlfn.SWITCH(T75,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6" spans="1:19">
      <c r="A76" t="s">
        <v>144</v>
      </c>
      <c r="B76">
        <v>2</v>
      </c>
      <c r="C76">
        <v>2</v>
      </c>
      <c r="D76" s="28">
        <v>45721</v>
      </c>
      <c r="E76" t="s">
        <v>87</v>
      </c>
      <c r="F76">
        <v>169917</v>
      </c>
      <c r="G76" s="30">
        <v>45721.313368055555</v>
      </c>
      <c r="H76" t="s">
        <v>22</v>
      </c>
      <c r="I76" s="1" t="s">
        <v>142</v>
      </c>
      <c r="J76" t="s">
        <v>128</v>
      </c>
      <c r="K76" s="28">
        <v>45726</v>
      </c>
      <c r="L76" t="s">
        <v>143</v>
      </c>
      <c r="M76" s="28">
        <v>45724</v>
      </c>
      <c r="N76">
        <v>2</v>
      </c>
      <c r="O76" s="24">
        <f>340*1.9558</f>
        <v>664.97199999999998</v>
      </c>
      <c r="P76" s="24">
        <f>Table1[[#This Row],[Цена за 1 бр. в BGN]]*Table1[[#This Row],[Поръчано Количество]]</f>
        <v>1329.944</v>
      </c>
      <c r="S76" t="str" cm="1">
        <f t="array" ref="S76">_xlfn.SWITCH(T76,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7" spans="1:19">
      <c r="A77" t="s">
        <v>145</v>
      </c>
      <c r="B77">
        <v>1</v>
      </c>
      <c r="D77" s="28">
        <v>45748</v>
      </c>
      <c r="E77" t="s">
        <v>21</v>
      </c>
      <c r="G77" s="30">
        <v>45721.319421296299</v>
      </c>
      <c r="H77" t="s">
        <v>30</v>
      </c>
      <c r="I77" s="1"/>
      <c r="J77" t="s">
        <v>128</v>
      </c>
      <c r="K77" s="28"/>
      <c r="M77" s="28"/>
      <c r="O77" s="24"/>
      <c r="P77" s="24">
        <f>Table1[[#This Row],[Цена за 1 бр. в BGN]]*Table1[[#This Row],[Поръчано Количество]]</f>
        <v>0</v>
      </c>
      <c r="S77" t="str" cm="1">
        <f t="array" ref="S77">_xlfn.SWITCH(T77,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8" spans="1:19">
      <c r="A78" t="s">
        <v>146</v>
      </c>
      <c r="B78">
        <v>1</v>
      </c>
      <c r="D78" s="28">
        <v>45748</v>
      </c>
      <c r="E78" t="s">
        <v>21</v>
      </c>
      <c r="G78" s="30">
        <v>45721.320173611108</v>
      </c>
      <c r="H78" t="s">
        <v>30</v>
      </c>
      <c r="I78" s="1"/>
      <c r="J78" t="s">
        <v>128</v>
      </c>
      <c r="K78" s="28"/>
      <c r="M78" s="28"/>
      <c r="O78" s="24"/>
      <c r="P78" s="24">
        <f>Table1[[#This Row],[Цена за 1 бр. в BGN]]*Table1[[#This Row],[Поръчано Количество]]</f>
        <v>0</v>
      </c>
      <c r="S78" t="str" cm="1">
        <f t="array" ref="S78">_xlfn.SWITCH(T78,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9" spans="1:19">
      <c r="A79" t="s">
        <v>147</v>
      </c>
      <c r="B79">
        <v>1</v>
      </c>
      <c r="D79" s="28">
        <v>45748</v>
      </c>
      <c r="E79" t="s">
        <v>21</v>
      </c>
      <c r="G79" s="30">
        <v>45721.320821759262</v>
      </c>
      <c r="H79" t="s">
        <v>30</v>
      </c>
      <c r="I79" s="1"/>
      <c r="J79" t="s">
        <v>128</v>
      </c>
      <c r="K79" s="28"/>
      <c r="M79" s="28"/>
      <c r="O79" s="24"/>
      <c r="P79" s="24">
        <f>Table1[[#This Row],[Цена за 1 бр. в BGN]]*Table1[[#This Row],[Поръчано Количество]]</f>
        <v>0</v>
      </c>
      <c r="S79" t="str" cm="1">
        <f t="array" ref="S79">_xlfn.SWITCH(T79,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0" spans="1:19">
      <c r="A80" t="s">
        <v>148</v>
      </c>
      <c r="B80">
        <v>1</v>
      </c>
      <c r="D80" s="28">
        <v>45748</v>
      </c>
      <c r="E80" t="s">
        <v>21</v>
      </c>
      <c r="G80" s="30">
        <v>45721.321388888886</v>
      </c>
      <c r="H80" t="s">
        <v>30</v>
      </c>
      <c r="I80" s="1"/>
      <c r="J80" t="s">
        <v>128</v>
      </c>
      <c r="K80" s="28"/>
      <c r="M80" s="28"/>
      <c r="O80" s="24"/>
      <c r="P80" s="24">
        <f>Table1[[#This Row],[Цена за 1 бр. в BGN]]*Table1[[#This Row],[Поръчано Количество]]</f>
        <v>0</v>
      </c>
      <c r="S80" t="str" cm="1">
        <f t="array" ref="S80">_xlfn.SWITCH(T80,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1" spans="1:19">
      <c r="A81" t="s">
        <v>149</v>
      </c>
      <c r="B81">
        <v>1</v>
      </c>
      <c r="D81" s="28">
        <v>45749</v>
      </c>
      <c r="E81" t="s">
        <v>21</v>
      </c>
      <c r="G81" s="30">
        <v>45721.457488425927</v>
      </c>
      <c r="H81" t="s">
        <v>135</v>
      </c>
      <c r="I81" s="1" t="s">
        <v>150</v>
      </c>
      <c r="K81" s="28"/>
      <c r="M81" s="28"/>
      <c r="O81" s="24"/>
      <c r="P81" s="24">
        <f>Table1[[#This Row],[Цена за 1 бр. в BGN]]*Table1[[#This Row],[Поръчано Количество]]</f>
        <v>0</v>
      </c>
      <c r="S81" t="str" cm="1">
        <f t="array" ref="S81">_xlfn.SWITCH(T81,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2" spans="1:19">
      <c r="A82" t="s">
        <v>151</v>
      </c>
      <c r="B82">
        <v>2</v>
      </c>
      <c r="D82" s="28">
        <v>45758</v>
      </c>
      <c r="E82" t="s">
        <v>21</v>
      </c>
      <c r="G82" s="30">
        <v>45726.358865740738</v>
      </c>
      <c r="H82" t="s">
        <v>42</v>
      </c>
      <c r="I82" s="1" t="s">
        <v>152</v>
      </c>
      <c r="J82" t="s">
        <v>153</v>
      </c>
      <c r="K82" s="28"/>
      <c r="M82" s="28"/>
      <c r="O82" s="24"/>
      <c r="P82" s="24">
        <f>Table1[[#This Row],[Цена за 1 бр. в BGN]]*Table1[[#This Row],[Поръчано Количество]]</f>
        <v>0</v>
      </c>
      <c r="S82" t="str" cm="1">
        <f t="array" ref="S82">_xlfn.SWITCH(T82,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3" spans="1:19">
      <c r="A83" t="s">
        <v>154</v>
      </c>
      <c r="B83">
        <v>60</v>
      </c>
      <c r="C83">
        <v>60</v>
      </c>
      <c r="D83" s="28">
        <v>45744</v>
      </c>
      <c r="E83" t="s">
        <v>21</v>
      </c>
      <c r="G83" s="30">
        <v>45726.376967592594</v>
      </c>
      <c r="H83" s="1" t="s">
        <v>22</v>
      </c>
      <c r="I83" s="1" t="s">
        <v>155</v>
      </c>
      <c r="J83" t="s">
        <v>73</v>
      </c>
      <c r="K83" s="28">
        <v>45743</v>
      </c>
      <c r="M83" s="28"/>
      <c r="O83" s="24">
        <v>1.5915999999999999</v>
      </c>
      <c r="P83" s="24">
        <f>Table1[[#This Row],[Цена за 1 бр. в BGN]]*Table1[[#This Row],[Поръчано Количество]]</f>
        <v>95.495999999999995</v>
      </c>
      <c r="S83" t="str" cm="1">
        <f t="array" ref="S83">_xlfn.SWITCH(T83,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4" spans="1:19">
      <c r="A84" t="s">
        <v>156</v>
      </c>
      <c r="B84">
        <v>60</v>
      </c>
      <c r="C84">
        <v>60</v>
      </c>
      <c r="D84" s="28">
        <v>45744</v>
      </c>
      <c r="E84" t="s">
        <v>21</v>
      </c>
      <c r="G84" s="30">
        <v>45726.376967592594</v>
      </c>
      <c r="H84" s="1" t="s">
        <v>22</v>
      </c>
      <c r="I84" s="1" t="s">
        <v>155</v>
      </c>
      <c r="J84" t="s">
        <v>73</v>
      </c>
      <c r="K84" s="28">
        <v>45743</v>
      </c>
      <c r="M84" s="28"/>
      <c r="O84" s="24">
        <v>1.7756000000000001</v>
      </c>
      <c r="P84" s="24">
        <f>Table1[[#This Row],[Цена за 1 бр. в BGN]]*Table1[[#This Row],[Поръчано Количество]]</f>
        <v>106.536</v>
      </c>
      <c r="S84" t="str" cm="1">
        <f t="array" ref="S84">_xlfn.SWITCH(T84,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5" spans="1:19">
      <c r="A85" t="s">
        <v>157</v>
      </c>
      <c r="B85">
        <v>60</v>
      </c>
      <c r="C85">
        <v>60</v>
      </c>
      <c r="D85" s="28">
        <v>45744</v>
      </c>
      <c r="E85" t="s">
        <v>21</v>
      </c>
      <c r="G85" s="30">
        <v>45726.376967592594</v>
      </c>
      <c r="H85" s="1" t="s">
        <v>22</v>
      </c>
      <c r="I85" s="1" t="s">
        <v>155</v>
      </c>
      <c r="J85" t="s">
        <v>73</v>
      </c>
      <c r="K85" s="28">
        <v>45743</v>
      </c>
      <c r="M85" s="28"/>
      <c r="O85" s="24">
        <v>1.7756000000000001</v>
      </c>
      <c r="P85" s="24">
        <f>Table1[[#This Row],[Цена за 1 бр. в BGN]]*Table1[[#This Row],[Поръчано Количество]]</f>
        <v>106.536</v>
      </c>
      <c r="S85" t="str" cm="1">
        <f t="array" ref="S85">_xlfn.SWITCH(T85,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6" spans="1:19">
      <c r="A86" t="s">
        <v>158</v>
      </c>
      <c r="B86">
        <v>60</v>
      </c>
      <c r="C86">
        <v>60</v>
      </c>
      <c r="D86" s="28">
        <v>45744</v>
      </c>
      <c r="E86" t="s">
        <v>21</v>
      </c>
      <c r="G86" s="30">
        <v>45726.376967592594</v>
      </c>
      <c r="H86" s="1" t="s">
        <v>22</v>
      </c>
      <c r="I86" s="1" t="s">
        <v>155</v>
      </c>
      <c r="J86" t="s">
        <v>73</v>
      </c>
      <c r="K86" s="28">
        <v>45743</v>
      </c>
      <c r="M86" s="28"/>
      <c r="O86" s="24">
        <v>1.7756000000000001</v>
      </c>
      <c r="P86" s="24">
        <f>Table1[[#This Row],[Цена за 1 бр. в BGN]]*Table1[[#This Row],[Поръчано Количество]]</f>
        <v>106.536</v>
      </c>
      <c r="S86" t="str" cm="1">
        <f t="array" ref="S86">_xlfn.SWITCH(T86,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7" spans="1:19">
      <c r="A87" t="s">
        <v>159</v>
      </c>
      <c r="B87">
        <v>1</v>
      </c>
      <c r="C87">
        <v>1</v>
      </c>
      <c r="D87" s="28">
        <v>45748</v>
      </c>
      <c r="E87" t="s">
        <v>21</v>
      </c>
      <c r="G87" s="30">
        <v>45726.480763888889</v>
      </c>
      <c r="H87" t="s">
        <v>22</v>
      </c>
      <c r="I87" s="1" t="s">
        <v>160</v>
      </c>
      <c r="J87" t="s">
        <v>48</v>
      </c>
      <c r="K87" s="28">
        <v>45792</v>
      </c>
      <c r="M87" s="28"/>
      <c r="O87" s="24">
        <v>86.77</v>
      </c>
      <c r="P87" s="24">
        <f>Table1[[#This Row],[Цена за 1 бр. в BGN]]*Table1[[#This Row],[Поръчано Количество]]</f>
        <v>86.77</v>
      </c>
      <c r="S87" t="str" cm="1">
        <f t="array" ref="S87">_xlfn.SWITCH(T87,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8" spans="1:19" ht="30">
      <c r="A88" t="s">
        <v>161</v>
      </c>
      <c r="B88">
        <v>1</v>
      </c>
      <c r="C88">
        <v>2</v>
      </c>
      <c r="D88" s="28">
        <v>45777</v>
      </c>
      <c r="E88" t="s">
        <v>87</v>
      </c>
      <c r="F88">
        <v>155679</v>
      </c>
      <c r="G88" s="30">
        <v>45726.501550925925</v>
      </c>
      <c r="H88" t="s">
        <v>22</v>
      </c>
      <c r="I88" s="1" t="s">
        <v>162</v>
      </c>
      <c r="J88" t="s">
        <v>128</v>
      </c>
      <c r="K88" s="28">
        <v>45868</v>
      </c>
      <c r="M88" s="28"/>
      <c r="O88" s="24">
        <f>1.95583*1201.41</f>
        <v>2349.7537203000002</v>
      </c>
      <c r="P88" s="24">
        <f>Table1[[#This Row],[Цена за 1 бр. в BGN]]*Table1[[#This Row],[Поръчано Количество]]</f>
        <v>4699.5074406000003</v>
      </c>
      <c r="S88" t="str" cm="1">
        <f t="array" ref="S88">_xlfn.SWITCH(T88,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9" spans="1:19">
      <c r="A89" t="s">
        <v>163</v>
      </c>
      <c r="B89">
        <v>12</v>
      </c>
      <c r="C89">
        <f>Table1[[#This Row],[Желано количество]]</f>
        <v>12</v>
      </c>
      <c r="D89" s="28">
        <v>45728</v>
      </c>
      <c r="E89" t="s">
        <v>34</v>
      </c>
      <c r="G89" s="30">
        <v>45727.336423611108</v>
      </c>
      <c r="H89" t="s">
        <v>22</v>
      </c>
      <c r="I89" s="1">
        <v>375185</v>
      </c>
      <c r="J89" t="s">
        <v>164</v>
      </c>
      <c r="K89" s="28">
        <v>45728</v>
      </c>
      <c r="M89" s="28">
        <v>45728</v>
      </c>
      <c r="N89">
        <v>12</v>
      </c>
      <c r="O89" s="24">
        <f>29.75/12</f>
        <v>2.4791666666666665</v>
      </c>
      <c r="P89" s="24">
        <f>Table1[[#This Row],[Цена за 1 бр. в BGN]]*Table1[[#This Row],[Поръчано Количество]]</f>
        <v>29.75</v>
      </c>
      <c r="S89" t="str" cm="1">
        <f t="array" ref="S89">_xlfn.SWITCH(T89,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0" spans="1:19">
      <c r="A90" t="s">
        <v>165</v>
      </c>
      <c r="B90">
        <v>10</v>
      </c>
      <c r="C90">
        <f>Table1[[#This Row],[Желано количество]]</f>
        <v>10</v>
      </c>
      <c r="D90" s="28">
        <v>45728</v>
      </c>
      <c r="E90" t="s">
        <v>34</v>
      </c>
      <c r="G90" s="30">
        <v>45727.336689814816</v>
      </c>
      <c r="H90" t="s">
        <v>22</v>
      </c>
      <c r="I90" s="1">
        <v>375185</v>
      </c>
      <c r="J90" t="s">
        <v>164</v>
      </c>
      <c r="K90" s="28">
        <v>45728</v>
      </c>
      <c r="M90" s="28">
        <v>45728</v>
      </c>
      <c r="N90">
        <v>10</v>
      </c>
      <c r="O90" s="24">
        <f>26.93/10</f>
        <v>2.6930000000000001</v>
      </c>
      <c r="P90" s="24">
        <f>Table1[[#This Row],[Цена за 1 бр. в BGN]]*Table1[[#This Row],[Поръчано Количество]]</f>
        <v>26.93</v>
      </c>
      <c r="S90" t="str" cm="1">
        <f t="array" ref="S90">_xlfn.SWITCH(T90,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1" spans="1:19">
      <c r="A91" t="s">
        <v>166</v>
      </c>
      <c r="B91">
        <v>5</v>
      </c>
      <c r="C91">
        <f>Table1[[#This Row],[Желано количество]]</f>
        <v>5</v>
      </c>
      <c r="D91" s="28">
        <v>45728</v>
      </c>
      <c r="E91" t="s">
        <v>34</v>
      </c>
      <c r="G91" s="30">
        <v>45727.33697916667</v>
      </c>
      <c r="H91" t="s">
        <v>22</v>
      </c>
      <c r="I91" s="1">
        <v>375185</v>
      </c>
      <c r="J91" t="s">
        <v>164</v>
      </c>
      <c r="K91" s="28">
        <v>45728</v>
      </c>
      <c r="M91" s="28">
        <v>45728</v>
      </c>
      <c r="N91">
        <v>5</v>
      </c>
      <c r="O91" s="24">
        <f>32.07/5</f>
        <v>6.4139999999999997</v>
      </c>
      <c r="P91" s="24">
        <f>Table1[[#This Row],[Цена за 1 бр. в BGN]]*Table1[[#This Row],[Поръчано Количество]]</f>
        <v>32.07</v>
      </c>
      <c r="S91" t="str" cm="1">
        <f t="array" ref="S91">_xlfn.SWITCH(T91,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2" spans="1:19">
      <c r="A92" t="s">
        <v>167</v>
      </c>
      <c r="B92">
        <v>6</v>
      </c>
      <c r="C92">
        <f>Table1[[#This Row],[Желано количество]]</f>
        <v>6</v>
      </c>
      <c r="D92" s="28">
        <v>45728</v>
      </c>
      <c r="E92" t="s">
        <v>34</v>
      </c>
      <c r="G92" s="30">
        <v>45727.33730324074</v>
      </c>
      <c r="H92" t="s">
        <v>22</v>
      </c>
      <c r="I92" s="1">
        <v>375185</v>
      </c>
      <c r="J92" t="s">
        <v>164</v>
      </c>
      <c r="K92" s="28">
        <v>45728</v>
      </c>
      <c r="M92" s="28">
        <v>45728</v>
      </c>
      <c r="N92">
        <v>6</v>
      </c>
      <c r="O92" s="24">
        <f>18.9/6</f>
        <v>3.15</v>
      </c>
      <c r="P92" s="24">
        <f>Table1[[#This Row],[Цена за 1 бр. в BGN]]*Table1[[#This Row],[Поръчано Количество]]</f>
        <v>18.899999999999999</v>
      </c>
      <c r="S92" t="str" cm="1">
        <f t="array" ref="S92">_xlfn.SWITCH(T92,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3" spans="1:19">
      <c r="A93" t="s">
        <v>168</v>
      </c>
      <c r="B93">
        <v>6</v>
      </c>
      <c r="C93">
        <f>Table1[[#This Row],[Желано количество]]</f>
        <v>6</v>
      </c>
      <c r="D93" s="28">
        <v>45728</v>
      </c>
      <c r="E93" t="s">
        <v>34</v>
      </c>
      <c r="G93" s="30">
        <v>45727.337569444448</v>
      </c>
      <c r="H93" t="s">
        <v>22</v>
      </c>
      <c r="I93" s="1">
        <v>375185</v>
      </c>
      <c r="J93" t="s">
        <v>164</v>
      </c>
      <c r="K93" s="28">
        <v>45728</v>
      </c>
      <c r="M93" s="28">
        <v>45728</v>
      </c>
      <c r="N93">
        <v>6</v>
      </c>
      <c r="O93" s="24">
        <f>19.13/6</f>
        <v>3.188333333333333</v>
      </c>
      <c r="P93" s="24">
        <f>Table1[[#This Row],[Цена за 1 бр. в BGN]]*Table1[[#This Row],[Поръчано Количество]]</f>
        <v>19.13</v>
      </c>
      <c r="S93" t="str" cm="1">
        <f t="array" ref="S93">_xlfn.SWITCH(T93,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4" spans="1:19" ht="30">
      <c r="A94" t="s">
        <v>169</v>
      </c>
      <c r="B94">
        <v>2</v>
      </c>
      <c r="C94">
        <f>Table1[[#This Row],[Желано количество]]</f>
        <v>2</v>
      </c>
      <c r="D94" s="28">
        <v>45728</v>
      </c>
      <c r="E94" s="1" t="s">
        <v>34</v>
      </c>
      <c r="G94" s="30">
        <v>45727.337789351855</v>
      </c>
      <c r="H94" t="s">
        <v>22</v>
      </c>
      <c r="I94" s="1">
        <v>375185</v>
      </c>
      <c r="J94" t="s">
        <v>164</v>
      </c>
      <c r="K94" s="28">
        <v>45728</v>
      </c>
      <c r="M94" s="28">
        <v>45728</v>
      </c>
      <c r="N94">
        <v>2</v>
      </c>
      <c r="O94" s="24">
        <f>18.75/2</f>
        <v>9.375</v>
      </c>
      <c r="P94" s="24">
        <f>Table1[[#This Row],[Цена за 1 бр. в BGN]]*Table1[[#This Row],[Поръчано Количество]]</f>
        <v>18.75</v>
      </c>
      <c r="S94" t="str" cm="1">
        <f t="array" ref="S94">_xlfn.SWITCH(T94,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5" spans="1:19" ht="45">
      <c r="A95" t="s">
        <v>170</v>
      </c>
      <c r="B95" t="s">
        <v>171</v>
      </c>
      <c r="C95">
        <v>11</v>
      </c>
      <c r="D95" s="28">
        <v>45730</v>
      </c>
      <c r="E95" t="s">
        <v>21</v>
      </c>
      <c r="G95" s="30">
        <v>45728.222604166665</v>
      </c>
      <c r="H95" t="s">
        <v>22</v>
      </c>
      <c r="I95" s="1"/>
      <c r="J95" s="1" t="s">
        <v>88</v>
      </c>
      <c r="K95" s="28">
        <v>45730</v>
      </c>
      <c r="M95" s="28">
        <v>45730</v>
      </c>
      <c r="N95">
        <v>11</v>
      </c>
      <c r="O95" s="24">
        <v>8</v>
      </c>
      <c r="P95" s="24">
        <f>Table1[[#This Row],[Цена за 1 бр. в BGN]]*Table1[[#This Row],[Поръчано Количество]]</f>
        <v>88</v>
      </c>
      <c r="Q95" s="1" t="s">
        <v>172</v>
      </c>
      <c r="S95" t="str" cm="1">
        <f t="array" ref="S95">_xlfn.SWITCH(T95,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6" spans="1:19">
      <c r="A96" t="s">
        <v>173</v>
      </c>
      <c r="B96">
        <v>50</v>
      </c>
      <c r="C96">
        <v>50</v>
      </c>
      <c r="D96" s="28">
        <v>45744</v>
      </c>
      <c r="E96" t="s">
        <v>21</v>
      </c>
      <c r="G96" s="30">
        <v>45733.401261574072</v>
      </c>
      <c r="H96" s="1" t="s">
        <v>22</v>
      </c>
      <c r="I96" s="1" t="s">
        <v>174</v>
      </c>
      <c r="J96" s="1" t="s">
        <v>58</v>
      </c>
      <c r="K96" s="28">
        <v>45692</v>
      </c>
      <c r="M96" s="28"/>
      <c r="O96" s="24"/>
      <c r="P96" s="24">
        <f>Table1[[#This Row],[Цена за 1 бр. в BGN]]*Table1[[#This Row],[Поръчано Количество]]</f>
        <v>0</v>
      </c>
      <c r="Q96" s="1"/>
      <c r="S96" t="str" cm="1">
        <f t="array" ref="S96">_xlfn.SWITCH(T96,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7" spans="1:19">
      <c r="A97" t="s">
        <v>175</v>
      </c>
      <c r="B97">
        <v>30</v>
      </c>
      <c r="C97">
        <v>30</v>
      </c>
      <c r="D97" s="28">
        <v>45744</v>
      </c>
      <c r="E97" t="s">
        <v>87</v>
      </c>
      <c r="G97" s="30">
        <v>45733.401724537034</v>
      </c>
      <c r="H97" s="1" t="s">
        <v>22</v>
      </c>
      <c r="I97" s="1" t="s">
        <v>174</v>
      </c>
      <c r="J97" s="1" t="s">
        <v>58</v>
      </c>
      <c r="K97" s="28">
        <v>45692</v>
      </c>
      <c r="M97" s="28"/>
      <c r="O97" s="24"/>
      <c r="P97" s="24">
        <f>Table1[[#This Row],[Цена за 1 бр. в BGN]]*Table1[[#This Row],[Поръчано Количество]]</f>
        <v>0</v>
      </c>
      <c r="Q97" s="1"/>
      <c r="S97" t="str" cm="1">
        <f t="array" ref="S97">_xlfn.SWITCH(T97,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8" spans="1:19">
      <c r="A98" t="s">
        <v>176</v>
      </c>
      <c r="B98">
        <v>1</v>
      </c>
      <c r="C98">
        <v>1</v>
      </c>
      <c r="D98" s="28">
        <v>45737</v>
      </c>
      <c r="E98" t="s">
        <v>92</v>
      </c>
      <c r="G98" s="30">
        <v>45736.292928240742</v>
      </c>
      <c r="H98" s="1" t="s">
        <v>22</v>
      </c>
      <c r="I98" s="1"/>
      <c r="J98" s="1" t="s">
        <v>69</v>
      </c>
      <c r="K98" s="28"/>
      <c r="M98" s="28">
        <v>45737</v>
      </c>
      <c r="N98">
        <v>1</v>
      </c>
      <c r="O98" s="24">
        <v>59.89</v>
      </c>
      <c r="P98" s="24">
        <f>Table1[[#This Row],[Цена за 1 бр. в BGN]]*Table1[[#This Row],[Поръчано Количество]]</f>
        <v>59.89</v>
      </c>
      <c r="Q98" s="1"/>
      <c r="S98" t="str" cm="1">
        <f t="array" ref="S98">_xlfn.SWITCH(T98,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9" spans="1:19">
      <c r="A99" t="s">
        <v>177</v>
      </c>
      <c r="B99">
        <v>2</v>
      </c>
      <c r="C99">
        <v>2</v>
      </c>
      <c r="D99" s="28">
        <v>45777</v>
      </c>
      <c r="E99" t="s">
        <v>92</v>
      </c>
      <c r="G99" s="30">
        <v>45736.421967592592</v>
      </c>
      <c r="H99" s="1" t="s">
        <v>22</v>
      </c>
      <c r="I99" s="1" t="s">
        <v>178</v>
      </c>
      <c r="J99" s="1" t="s">
        <v>179</v>
      </c>
      <c r="K99" s="28"/>
      <c r="M99" s="28"/>
      <c r="O99" s="24"/>
      <c r="P99" s="24">
        <f>Table1[[#This Row],[Цена за 1 бр. в BGN]]*Table1[[#This Row],[Поръчано Количество]]</f>
        <v>0</v>
      </c>
      <c r="Q99" s="1"/>
      <c r="S99" t="str" cm="1">
        <f t="array" ref="S99">_xlfn.SWITCH(T99,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0" spans="1:19" ht="30">
      <c r="A100" t="s">
        <v>180</v>
      </c>
      <c r="B100">
        <v>6</v>
      </c>
      <c r="C100">
        <v>6</v>
      </c>
      <c r="D100" s="28">
        <v>45758</v>
      </c>
      <c r="E100" t="s">
        <v>21</v>
      </c>
      <c r="G100" s="30">
        <v>45738.215671296297</v>
      </c>
      <c r="H100" s="1" t="s">
        <v>22</v>
      </c>
      <c r="I100" s="1" t="s">
        <v>111</v>
      </c>
      <c r="J100" s="1" t="s">
        <v>112</v>
      </c>
      <c r="K100" s="28"/>
      <c r="M100" s="28">
        <v>45755</v>
      </c>
      <c r="N100">
        <v>6</v>
      </c>
      <c r="O100" s="24">
        <v>52</v>
      </c>
      <c r="P100" s="24">
        <f>Table1[[#This Row],[Цена за 1 бр. в BGN]]*Table1[[#This Row],[Поръчано Количество]]</f>
        <v>312</v>
      </c>
      <c r="Q100" s="1"/>
      <c r="S100" t="str" cm="1">
        <f t="array" ref="S100">_xlfn.SWITCH(T100,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1" spans="1:19" ht="30">
      <c r="A101" t="s">
        <v>181</v>
      </c>
      <c r="B101">
        <v>1</v>
      </c>
      <c r="C101">
        <v>1</v>
      </c>
      <c r="D101" s="28">
        <v>45765</v>
      </c>
      <c r="E101" t="s">
        <v>21</v>
      </c>
      <c r="G101" s="30">
        <v>45738.216608796298</v>
      </c>
      <c r="H101" s="1" t="s">
        <v>22</v>
      </c>
      <c r="I101" s="1" t="s">
        <v>182</v>
      </c>
      <c r="J101" s="1" t="s">
        <v>54</v>
      </c>
      <c r="K101" s="28">
        <v>45748</v>
      </c>
      <c r="M101" s="28">
        <v>45748</v>
      </c>
      <c r="O101" s="24">
        <v>43.18</v>
      </c>
      <c r="P101" s="24">
        <f>Table1[[#This Row],[Цена за 1 бр. в BGN]]*Table1[[#This Row],[Поръчано Количество]]</f>
        <v>43.18</v>
      </c>
      <c r="Q101" s="1"/>
      <c r="S101" t="str" cm="1">
        <f t="array" ref="S101">_xlfn.SWITCH(T101,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2" spans="1:19" ht="30">
      <c r="A102" t="s">
        <v>183</v>
      </c>
      <c r="B102">
        <v>2</v>
      </c>
      <c r="C102">
        <v>2</v>
      </c>
      <c r="D102" s="28">
        <v>45751</v>
      </c>
      <c r="E102" t="s">
        <v>21</v>
      </c>
      <c r="G102" s="30">
        <v>45738.218310185184</v>
      </c>
      <c r="H102" s="1" t="s">
        <v>22</v>
      </c>
      <c r="I102" s="1" t="s">
        <v>182</v>
      </c>
      <c r="J102" s="1" t="s">
        <v>54</v>
      </c>
      <c r="K102" s="28">
        <v>45748</v>
      </c>
      <c r="M102" s="28">
        <v>45748</v>
      </c>
      <c r="O102" s="24">
        <v>43.18</v>
      </c>
      <c r="P102" s="24">
        <f>Table1[[#This Row],[Цена за 1 бр. в BGN]]*Table1[[#This Row],[Поръчано Количество]]</f>
        <v>86.36</v>
      </c>
      <c r="Q102" s="1"/>
      <c r="S102" t="str" cm="1">
        <f t="array" ref="S102">_xlfn.SWITCH(T102,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3" spans="1:19" ht="45">
      <c r="A103" t="s">
        <v>184</v>
      </c>
      <c r="B103">
        <v>4</v>
      </c>
      <c r="C103">
        <v>4</v>
      </c>
      <c r="D103" s="28">
        <v>45764</v>
      </c>
      <c r="E103" t="s">
        <v>21</v>
      </c>
      <c r="G103" s="30">
        <v>45741.265405092592</v>
      </c>
      <c r="H103" s="1" t="s">
        <v>22</v>
      </c>
      <c r="I103" s="1" t="s">
        <v>185</v>
      </c>
      <c r="J103" s="1" t="s">
        <v>112</v>
      </c>
      <c r="K103" s="28"/>
      <c r="M103" s="28">
        <v>45755</v>
      </c>
      <c r="N103">
        <v>4</v>
      </c>
      <c r="O103" s="24">
        <v>14.24</v>
      </c>
      <c r="P103" s="24">
        <f>Table1[[#This Row],[Цена за 1 бр. в BGN]]*Table1[[#This Row],[Поръчано Количество]]</f>
        <v>56.96</v>
      </c>
      <c r="Q103" s="1"/>
      <c r="S103" t="str" cm="1">
        <f t="array" ref="S103">_xlfn.SWITCH(T103,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4" spans="1:19" ht="45">
      <c r="A104" t="s">
        <v>186</v>
      </c>
      <c r="B104">
        <v>6</v>
      </c>
      <c r="C104">
        <v>6</v>
      </c>
      <c r="D104" s="28">
        <v>45764</v>
      </c>
      <c r="E104" t="s">
        <v>21</v>
      </c>
      <c r="G104" s="30">
        <v>45741.265856481485</v>
      </c>
      <c r="H104" s="1" t="s">
        <v>22</v>
      </c>
      <c r="I104" s="1" t="s">
        <v>185</v>
      </c>
      <c r="J104" s="1" t="s">
        <v>112</v>
      </c>
      <c r="K104" s="28"/>
      <c r="M104" s="28">
        <v>45755</v>
      </c>
      <c r="N104">
        <v>6</v>
      </c>
      <c r="O104" s="24">
        <v>12.2</v>
      </c>
      <c r="P104" s="24">
        <f>Table1[[#This Row],[Цена за 1 бр. в BGN]]*Table1[[#This Row],[Поръчано Количество]]</f>
        <v>73.199999999999989</v>
      </c>
      <c r="Q104" s="1"/>
      <c r="S104" t="str" cm="1">
        <f t="array" ref="S104">_xlfn.SWITCH(T104,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5" spans="1:19" ht="45">
      <c r="A105" t="s">
        <v>187</v>
      </c>
      <c r="B105">
        <v>6</v>
      </c>
      <c r="C105">
        <v>6</v>
      </c>
      <c r="D105" s="28">
        <v>45764</v>
      </c>
      <c r="E105" t="s">
        <v>21</v>
      </c>
      <c r="G105" s="30">
        <v>45741.266388888886</v>
      </c>
      <c r="H105" s="1" t="s">
        <v>22</v>
      </c>
      <c r="I105" s="1" t="s">
        <v>185</v>
      </c>
      <c r="J105" s="1" t="s">
        <v>112</v>
      </c>
      <c r="K105" s="28"/>
      <c r="M105" s="28">
        <v>45755</v>
      </c>
      <c r="N105">
        <v>6</v>
      </c>
      <c r="O105" s="24">
        <v>5</v>
      </c>
      <c r="P105" s="24">
        <f>Table1[[#This Row],[Цена за 1 бр. в BGN]]*Table1[[#This Row],[Поръчано Количество]]</f>
        <v>30</v>
      </c>
      <c r="Q105" s="1"/>
      <c r="S105" t="str" cm="1">
        <f t="array" ref="S105">_xlfn.SWITCH(T105,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6" spans="1:19" ht="45">
      <c r="A106" t="s">
        <v>188</v>
      </c>
      <c r="B106">
        <v>4</v>
      </c>
      <c r="C106">
        <v>4</v>
      </c>
      <c r="D106" s="28">
        <v>45764</v>
      </c>
      <c r="E106" t="s">
        <v>21</v>
      </c>
      <c r="G106" s="30">
        <v>45741.26667824074</v>
      </c>
      <c r="H106" s="1" t="s">
        <v>22</v>
      </c>
      <c r="I106" s="1" t="s">
        <v>185</v>
      </c>
      <c r="J106" s="1" t="s">
        <v>112</v>
      </c>
      <c r="K106" s="28"/>
      <c r="M106" s="28">
        <v>45755</v>
      </c>
      <c r="N106">
        <v>4</v>
      </c>
      <c r="O106" s="24">
        <v>2.8</v>
      </c>
      <c r="P106" s="24">
        <f>Table1[[#This Row],[Цена за 1 бр. в BGN]]*Table1[[#This Row],[Поръчано Количество]]</f>
        <v>11.2</v>
      </c>
      <c r="Q106" s="1"/>
      <c r="S106" t="str" cm="1">
        <f t="array" ref="S106">_xlfn.SWITCH(T106,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7" spans="1:19" ht="45">
      <c r="A107" t="s">
        <v>189</v>
      </c>
      <c r="B107">
        <v>2</v>
      </c>
      <c r="C107">
        <v>2</v>
      </c>
      <c r="D107" s="28">
        <v>45764</v>
      </c>
      <c r="E107" t="s">
        <v>21</v>
      </c>
      <c r="G107" s="30">
        <v>45741.267013888886</v>
      </c>
      <c r="H107" s="1" t="s">
        <v>22</v>
      </c>
      <c r="I107" s="1" t="s">
        <v>185</v>
      </c>
      <c r="J107" s="1" t="s">
        <v>112</v>
      </c>
      <c r="K107" s="28"/>
      <c r="M107" s="28">
        <v>45755</v>
      </c>
      <c r="N107">
        <v>2</v>
      </c>
      <c r="O107" s="24">
        <v>59.6</v>
      </c>
      <c r="P107" s="24">
        <f>Table1[[#This Row],[Цена за 1 бр. в BGN]]*Table1[[#This Row],[Поръчано Количество]]</f>
        <v>119.2</v>
      </c>
      <c r="Q107" s="1"/>
      <c r="S107" t="str" cm="1">
        <f t="array" ref="S107">_xlfn.SWITCH(T107,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8" spans="1:19">
      <c r="A108" t="s">
        <v>190</v>
      </c>
      <c r="B108" t="s">
        <v>191</v>
      </c>
      <c r="D108" s="28">
        <v>45777</v>
      </c>
      <c r="E108" t="s">
        <v>92</v>
      </c>
      <c r="G108" s="30">
        <v>45741.280312499999</v>
      </c>
      <c r="H108" s="1" t="s">
        <v>22</v>
      </c>
      <c r="I108" s="1">
        <v>120295241</v>
      </c>
      <c r="J108" s="1" t="s">
        <v>192</v>
      </c>
      <c r="K108" s="31">
        <v>45761</v>
      </c>
      <c r="L108" t="s">
        <v>193</v>
      </c>
      <c r="M108" s="28"/>
      <c r="O108" s="24"/>
      <c r="P108" s="24">
        <f>Table1[[#This Row],[Цена за 1 бр. в BGN]]*Table1[[#This Row],[Поръчано Количество]]</f>
        <v>0</v>
      </c>
      <c r="Q108" s="1"/>
      <c r="S108" t="str" cm="1">
        <f t="array" ref="S108">_xlfn.SWITCH(T108,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9" spans="1:19" ht="45">
      <c r="A109" t="s">
        <v>194</v>
      </c>
      <c r="B109">
        <v>4</v>
      </c>
      <c r="C109">
        <v>5</v>
      </c>
      <c r="D109" s="28">
        <v>45744</v>
      </c>
      <c r="E109" t="s">
        <v>87</v>
      </c>
      <c r="G109" s="30">
        <v>45742.35056712963</v>
      </c>
      <c r="H109" s="1" t="s">
        <v>22</v>
      </c>
      <c r="I109" s="1"/>
      <c r="J109" s="1" t="s">
        <v>88</v>
      </c>
      <c r="K109" s="28">
        <v>45744</v>
      </c>
      <c r="M109" s="28">
        <v>45744</v>
      </c>
      <c r="O109" s="24"/>
      <c r="P109" s="24">
        <f>Table1[[#This Row],[Цена за 1 бр. в BGN]]*Table1[[#This Row],[Поръчано Количество]]</f>
        <v>0</v>
      </c>
      <c r="Q109" s="1"/>
      <c r="S109" t="str" cm="1">
        <f t="array" ref="S109">_xlfn.SWITCH(T109,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0" spans="1:19">
      <c r="A110" t="s">
        <v>195</v>
      </c>
      <c r="B110">
        <v>10</v>
      </c>
      <c r="C110">
        <v>10</v>
      </c>
      <c r="D110" s="28">
        <v>45751</v>
      </c>
      <c r="E110" t="s">
        <v>21</v>
      </c>
      <c r="G110" s="30">
        <v>45742.362395833334</v>
      </c>
      <c r="H110" s="1" t="s">
        <v>22</v>
      </c>
      <c r="I110" s="1" t="s">
        <v>196</v>
      </c>
      <c r="J110" s="1" t="s">
        <v>197</v>
      </c>
      <c r="K110" s="28"/>
      <c r="M110" s="28" t="s">
        <v>198</v>
      </c>
      <c r="O110" s="24">
        <v>11.23</v>
      </c>
      <c r="P110" s="24">
        <f>Table1[[#This Row],[Цена за 1 бр. в BGN]]*Table1[[#This Row],[Поръчано Количество]]</f>
        <v>112.30000000000001</v>
      </c>
      <c r="Q110" s="1"/>
      <c r="S110" t="str" cm="1">
        <f t="array" ref="S110">_xlfn.SWITCH(T110,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1" spans="1:19" ht="30">
      <c r="A111" s="1" t="s">
        <v>83</v>
      </c>
      <c r="B111">
        <v>6</v>
      </c>
      <c r="C111">
        <v>6</v>
      </c>
      <c r="D111" s="28">
        <v>45750</v>
      </c>
      <c r="E111" t="s">
        <v>92</v>
      </c>
      <c r="G111" s="30">
        <v>45742.394606481481</v>
      </c>
      <c r="H111" s="1" t="s">
        <v>22</v>
      </c>
      <c r="I111" s="64">
        <v>32689934</v>
      </c>
      <c r="J111" s="1" t="s">
        <v>84</v>
      </c>
      <c r="K111" s="28">
        <v>45838</v>
      </c>
      <c r="M111" s="28"/>
      <c r="O111" s="24">
        <f>10.12*1.95583</f>
        <v>19.792999599999998</v>
      </c>
      <c r="P111" s="24">
        <f>Table1[[#This Row],[Цена за 1 бр. в BGN]]*Table1[[#This Row],[Поръчано Количество]]</f>
        <v>118.75799759999998</v>
      </c>
      <c r="Q111" s="1" t="s">
        <v>199</v>
      </c>
      <c r="S111" t="str" cm="1">
        <f t="array" ref="S111">_xlfn.SWITCH(T111,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2" spans="1:19" ht="45">
      <c r="A112" t="s">
        <v>200</v>
      </c>
      <c r="B112">
        <v>3</v>
      </c>
      <c r="C112">
        <v>3</v>
      </c>
      <c r="D112" s="28">
        <v>45744</v>
      </c>
      <c r="E112" t="s">
        <v>92</v>
      </c>
      <c r="G112" s="30">
        <v>45743.323645833334</v>
      </c>
      <c r="H112" s="1" t="s">
        <v>22</v>
      </c>
      <c r="I112" s="1"/>
      <c r="J112" s="1" t="s">
        <v>88</v>
      </c>
      <c r="K112" s="28">
        <v>45744</v>
      </c>
      <c r="M112" s="28">
        <v>45744</v>
      </c>
      <c r="O112" s="24"/>
      <c r="P112" s="24">
        <f>Table1[[#This Row],[Цена за 1 бр. в BGN]]*Table1[[#This Row],[Поръчано Количество]]</f>
        <v>0</v>
      </c>
      <c r="Q112" s="1"/>
      <c r="S112" t="str" cm="1">
        <f t="array" ref="S112">_xlfn.SWITCH(T112,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3" spans="1:19">
      <c r="A113" t="s">
        <v>201</v>
      </c>
      <c r="B113">
        <v>4</v>
      </c>
      <c r="C113">
        <v>4</v>
      </c>
      <c r="D113" s="28">
        <v>45744</v>
      </c>
      <c r="E113" t="s">
        <v>92</v>
      </c>
      <c r="G113" s="30">
        <v>45743.324687499997</v>
      </c>
      <c r="H113" s="1" t="s">
        <v>22</v>
      </c>
      <c r="I113" s="1"/>
      <c r="J113" s="1" t="s">
        <v>202</v>
      </c>
      <c r="K113" s="28"/>
      <c r="M113" s="28"/>
      <c r="O113" s="24"/>
      <c r="P113" s="24">
        <f>Table1[[#This Row],[Цена за 1 бр. в BGN]]*Table1[[#This Row],[Поръчано Количество]]</f>
        <v>0</v>
      </c>
      <c r="Q113" s="1"/>
      <c r="S113" t="str" cm="1">
        <f t="array" ref="S113">_xlfn.SWITCH(T113,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4" spans="1:19">
      <c r="A114" t="s">
        <v>203</v>
      </c>
      <c r="B114">
        <v>2</v>
      </c>
      <c r="C114">
        <v>2</v>
      </c>
      <c r="D114" s="28">
        <v>45744</v>
      </c>
      <c r="E114" t="s">
        <v>21</v>
      </c>
      <c r="G114" s="30">
        <v>45743.332395833335</v>
      </c>
      <c r="H114" s="1" t="s">
        <v>22</v>
      </c>
      <c r="I114" s="1" t="s">
        <v>204</v>
      </c>
      <c r="J114" s="1" t="s">
        <v>205</v>
      </c>
      <c r="K114" s="28">
        <v>45744</v>
      </c>
      <c r="M114" s="28">
        <v>45744</v>
      </c>
      <c r="O114" s="24">
        <f>49.86/2</f>
        <v>24.93</v>
      </c>
      <c r="P114" s="24">
        <f>Table1[[#This Row],[Цена за 1 бр. в BGN]]*Table1[[#This Row],[Поръчано Количество]]</f>
        <v>49.86</v>
      </c>
      <c r="Q114" s="1"/>
      <c r="S114" t="str" cm="1">
        <f t="array" ref="S114">_xlfn.SWITCH(T114,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5" spans="1:19">
      <c r="A115" t="s">
        <v>206</v>
      </c>
      <c r="B115">
        <v>2</v>
      </c>
      <c r="C115">
        <v>2</v>
      </c>
      <c r="D115" s="28">
        <v>45744</v>
      </c>
      <c r="E115" t="s">
        <v>21</v>
      </c>
      <c r="G115" s="30">
        <v>45743.332812499997</v>
      </c>
      <c r="H115" s="1" t="s">
        <v>22</v>
      </c>
      <c r="I115" s="1" t="s">
        <v>204</v>
      </c>
      <c r="J115" s="1" t="s">
        <v>205</v>
      </c>
      <c r="K115" s="28">
        <v>45744</v>
      </c>
      <c r="M115" s="28">
        <v>45744</v>
      </c>
      <c r="O115" s="24">
        <f>64.74/2</f>
        <v>32.369999999999997</v>
      </c>
      <c r="P115" s="24">
        <f>Table1[[#This Row],[Цена за 1 бр. в BGN]]*Table1[[#This Row],[Поръчано Количество]]</f>
        <v>64.739999999999995</v>
      </c>
      <c r="Q115" s="1"/>
      <c r="S115" t="str" cm="1">
        <f t="array" ref="S115">_xlfn.SWITCH(T115,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6" spans="1:19" ht="45">
      <c r="A116" t="s">
        <v>207</v>
      </c>
      <c r="B116" t="s">
        <v>208</v>
      </c>
      <c r="C116">
        <v>4</v>
      </c>
      <c r="D116" s="28">
        <v>45744</v>
      </c>
      <c r="E116" t="s">
        <v>21</v>
      </c>
      <c r="G116" s="30">
        <v>45743.347418981481</v>
      </c>
      <c r="H116" s="1" t="s">
        <v>22</v>
      </c>
      <c r="I116" s="1"/>
      <c r="J116" s="1" t="s">
        <v>88</v>
      </c>
      <c r="K116" s="28">
        <v>45744</v>
      </c>
      <c r="M116" s="28">
        <v>45744</v>
      </c>
      <c r="O116" s="24"/>
      <c r="P116" s="24">
        <f>Table1[[#This Row],[Цена за 1 бр. в BGN]]*Table1[[#This Row],[Поръчано Количество]]</f>
        <v>0</v>
      </c>
      <c r="Q116" s="1"/>
      <c r="S116" t="str" cm="1">
        <f t="array" ref="S116">_xlfn.SWITCH(T116,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7" spans="1:19" ht="30">
      <c r="A117" t="s">
        <v>209</v>
      </c>
      <c r="B117">
        <v>10</v>
      </c>
      <c r="C117">
        <v>10</v>
      </c>
      <c r="D117" s="28">
        <v>45751</v>
      </c>
      <c r="E117" t="s">
        <v>21</v>
      </c>
      <c r="G117" s="30">
        <v>45745.214537037034</v>
      </c>
      <c r="H117" s="1" t="s">
        <v>22</v>
      </c>
      <c r="I117" s="1" t="s">
        <v>111</v>
      </c>
      <c r="J117" s="1" t="s">
        <v>112</v>
      </c>
      <c r="K117" s="28"/>
      <c r="M117" s="28">
        <v>45771</v>
      </c>
      <c r="N117">
        <v>10</v>
      </c>
      <c r="O117" s="24">
        <v>22</v>
      </c>
      <c r="P117" s="24">
        <f>Table1[[#This Row],[Цена за 1 бр. в BGN]]*Table1[[#This Row],[Поръчано Количество]]</f>
        <v>220</v>
      </c>
      <c r="Q117" s="1"/>
      <c r="S117" t="str" cm="1">
        <f t="array" ref="S117">_xlfn.SWITCH(T117,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8" spans="1:19" ht="30">
      <c r="A118" t="s">
        <v>210</v>
      </c>
      <c r="B118">
        <v>10</v>
      </c>
      <c r="C118">
        <v>10</v>
      </c>
      <c r="D118" s="28">
        <v>45751</v>
      </c>
      <c r="E118" t="s">
        <v>21</v>
      </c>
      <c r="G118" s="30">
        <v>45745.215162037035</v>
      </c>
      <c r="H118" s="1" t="s">
        <v>22</v>
      </c>
      <c r="I118" s="1" t="s">
        <v>111</v>
      </c>
      <c r="J118" s="1" t="s">
        <v>112</v>
      </c>
      <c r="K118" s="28"/>
      <c r="M118" s="28">
        <v>45755</v>
      </c>
      <c r="N118">
        <v>10</v>
      </c>
      <c r="O118" s="24">
        <v>10.42</v>
      </c>
      <c r="P118" s="24">
        <f>Table1[[#This Row],[Цена за 1 бр. в BGN]]*Table1[[#This Row],[Поръчано Количество]]</f>
        <v>104.2</v>
      </c>
      <c r="Q118" s="1"/>
      <c r="S118" t="str" cm="1">
        <f t="array" ref="S118">_xlfn.SWITCH(T118,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9" spans="1:19">
      <c r="A119" t="s">
        <v>211</v>
      </c>
      <c r="B119">
        <v>3</v>
      </c>
      <c r="C119">
        <v>3</v>
      </c>
      <c r="D119" s="28">
        <v>45779</v>
      </c>
      <c r="E119" t="s">
        <v>21</v>
      </c>
      <c r="G119" s="30">
        <v>45747.208009259259</v>
      </c>
      <c r="H119" s="1" t="s">
        <v>22</v>
      </c>
      <c r="I119" t="s">
        <v>100</v>
      </c>
      <c r="J119" s="1" t="s">
        <v>101</v>
      </c>
      <c r="K119" s="28">
        <v>45779</v>
      </c>
      <c r="M119" s="28">
        <v>45791</v>
      </c>
      <c r="O119" s="24">
        <v>27</v>
      </c>
      <c r="P119" s="24">
        <f>Table1[[#This Row],[Цена за 1 бр. в BGN]]*Table1[[#This Row],[Поръчано Количество]]</f>
        <v>81</v>
      </c>
      <c r="Q119" s="1"/>
      <c r="S119" t="str" cm="1">
        <f t="array" ref="S119">_xlfn.SWITCH(T119,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0" spans="1:19" ht="30">
      <c r="A120" t="s">
        <v>212</v>
      </c>
      <c r="B120">
        <v>2</v>
      </c>
      <c r="C120">
        <v>2</v>
      </c>
      <c r="D120" s="28">
        <v>45777</v>
      </c>
      <c r="E120" s="1" t="s">
        <v>34</v>
      </c>
      <c r="G120" s="30">
        <v>45747.208854166667</v>
      </c>
      <c r="H120" s="1" t="s">
        <v>22</v>
      </c>
      <c r="I120" t="s">
        <v>100</v>
      </c>
      <c r="J120" s="1" t="s">
        <v>101</v>
      </c>
      <c r="K120" s="28">
        <v>45779</v>
      </c>
      <c r="M120" s="28">
        <v>45791</v>
      </c>
      <c r="O120" s="24">
        <v>319.8</v>
      </c>
      <c r="P120" s="24">
        <f>Table1[[#This Row],[Цена за 1 бр. в BGN]]*Table1[[#This Row],[Поръчано Количество]]</f>
        <v>639.6</v>
      </c>
      <c r="Q120" s="1"/>
      <c r="S120" t="str" cm="1">
        <f t="array" ref="S120">_xlfn.SWITCH(T120,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1" spans="1:19">
      <c r="A121" t="s">
        <v>213</v>
      </c>
      <c r="B121">
        <v>20</v>
      </c>
      <c r="C121">
        <v>20</v>
      </c>
      <c r="D121" s="28">
        <v>45765</v>
      </c>
      <c r="E121" t="s">
        <v>87</v>
      </c>
      <c r="G121" s="30">
        <v>45749.278460648151</v>
      </c>
      <c r="H121" s="1" t="s">
        <v>22</v>
      </c>
      <c r="I121" t="s">
        <v>72</v>
      </c>
      <c r="J121" s="1" t="s">
        <v>73</v>
      </c>
      <c r="K121" s="28"/>
      <c r="M121" s="28"/>
      <c r="O121" s="24">
        <v>3.1463999999999999</v>
      </c>
      <c r="P121" s="24">
        <f>Table1[[#This Row],[Цена за 1 бр. в BGN]]*Table1[[#This Row],[Поръчано Количество]]</f>
        <v>62.927999999999997</v>
      </c>
      <c r="Q121" s="1"/>
      <c r="S121" t="str" cm="1">
        <f t="array" ref="S121">_xlfn.SWITCH(T121,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2" spans="1:19" ht="30">
      <c r="A122" t="s">
        <v>214</v>
      </c>
      <c r="B122">
        <v>2</v>
      </c>
      <c r="C122">
        <v>2</v>
      </c>
      <c r="D122" s="28">
        <v>45771</v>
      </c>
      <c r="E122" t="s">
        <v>87</v>
      </c>
      <c r="G122" s="30">
        <v>45754.227581018517</v>
      </c>
      <c r="H122" s="1" t="s">
        <v>22</v>
      </c>
      <c r="I122" s="1" t="s">
        <v>215</v>
      </c>
      <c r="J122" s="1" t="s">
        <v>216</v>
      </c>
      <c r="K122" s="28"/>
      <c r="M122" s="28"/>
      <c r="O122" s="24"/>
      <c r="P122" s="24">
        <f>Table1[[#This Row],[Цена за 1 бр. в BGN]]*Table1[[#This Row],[Поръчано Количество]]</f>
        <v>0</v>
      </c>
      <c r="Q122" s="1"/>
      <c r="S122" t="str" cm="1">
        <f t="array" ref="S122">_xlfn.SWITCH(T122,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3" spans="1:19" ht="30">
      <c r="A123" t="s">
        <v>217</v>
      </c>
      <c r="B123">
        <v>150</v>
      </c>
      <c r="C123">
        <v>150</v>
      </c>
      <c r="D123" s="28">
        <v>45761</v>
      </c>
      <c r="E123" t="s">
        <v>21</v>
      </c>
      <c r="G123" s="30">
        <v>45756.232662037037</v>
      </c>
      <c r="H123" s="1" t="s">
        <v>22</v>
      </c>
      <c r="I123" s="1" t="s">
        <v>218</v>
      </c>
      <c r="J123" s="1" t="s">
        <v>58</v>
      </c>
      <c r="K123" s="28">
        <v>45759</v>
      </c>
      <c r="M123" s="28"/>
      <c r="O123" s="24"/>
      <c r="P123" s="24">
        <f>Table1[[#This Row],[Цена за 1 бр. в BGN]]*Table1[[#This Row],[Поръчано Количество]]</f>
        <v>0</v>
      </c>
      <c r="Q123" s="1"/>
      <c r="S123" t="str" cm="1">
        <f t="array" ref="S123">_xlfn.SWITCH(T123,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4" spans="1:19" ht="30">
      <c r="A124" t="s">
        <v>219</v>
      </c>
      <c r="B124">
        <v>150</v>
      </c>
      <c r="C124">
        <v>150</v>
      </c>
      <c r="D124" s="28">
        <v>45761</v>
      </c>
      <c r="E124" t="s">
        <v>21</v>
      </c>
      <c r="G124" s="30">
        <v>45756.232893518521</v>
      </c>
      <c r="H124" s="1" t="s">
        <v>22</v>
      </c>
      <c r="I124" s="1" t="s">
        <v>218</v>
      </c>
      <c r="J124" s="1" t="s">
        <v>58</v>
      </c>
      <c r="K124" s="28">
        <v>45759</v>
      </c>
      <c r="M124" s="28"/>
      <c r="O124" s="24"/>
      <c r="P124" s="24">
        <f>Table1[[#This Row],[Цена за 1 бр. в BGN]]*Table1[[#This Row],[Поръчано Количество]]</f>
        <v>0</v>
      </c>
      <c r="Q124" s="1"/>
      <c r="S124" t="str" cm="1">
        <f t="array" ref="S124">_xlfn.SWITCH(T124,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5" spans="1:19">
      <c r="A125" t="s">
        <v>220</v>
      </c>
      <c r="B125">
        <v>1</v>
      </c>
      <c r="C125">
        <v>2</v>
      </c>
      <c r="D125" s="28">
        <v>45757</v>
      </c>
      <c r="E125" t="s">
        <v>92</v>
      </c>
      <c r="G125" s="30">
        <v>45756.396666666667</v>
      </c>
      <c r="H125" s="1" t="s">
        <v>22</v>
      </c>
      <c r="I125" s="1"/>
      <c r="J125" s="1" t="s">
        <v>221</v>
      </c>
      <c r="K125" s="28">
        <v>45756</v>
      </c>
      <c r="M125" s="28">
        <v>45756</v>
      </c>
      <c r="N125">
        <v>2</v>
      </c>
      <c r="O125" s="24">
        <v>95</v>
      </c>
      <c r="P125" s="24">
        <f>Table1[[#This Row],[Цена за 1 бр. в BGN]]*Table1[[#This Row],[Поръчано Количество]]</f>
        <v>190</v>
      </c>
      <c r="Q125" s="1"/>
      <c r="S125" t="str" cm="1">
        <f t="array" ref="S125">_xlfn.SWITCH(T125,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6" spans="1:19">
      <c r="A126" t="s">
        <v>222</v>
      </c>
      <c r="B126">
        <v>1</v>
      </c>
      <c r="D126" s="28">
        <v>45761</v>
      </c>
      <c r="E126" t="s">
        <v>21</v>
      </c>
      <c r="G126" s="30">
        <v>45757.312476851854</v>
      </c>
      <c r="H126" s="1" t="s">
        <v>22</v>
      </c>
      <c r="I126" s="1">
        <v>120295241</v>
      </c>
      <c r="J126" s="1" t="s">
        <v>192</v>
      </c>
      <c r="K126" s="31">
        <v>45761</v>
      </c>
      <c r="L126" t="s">
        <v>193</v>
      </c>
      <c r="M126" s="28"/>
      <c r="O126" s="24"/>
      <c r="P126" s="24">
        <f>Table1[[#This Row],[Цена за 1 бр. в BGN]]*Table1[[#This Row],[Поръчано Количество]]</f>
        <v>0</v>
      </c>
      <c r="Q126" s="1"/>
      <c r="S126" t="str" cm="1">
        <f t="array" ref="S126">_xlfn.SWITCH(T126,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7" spans="1:19">
      <c r="A127" t="s">
        <v>223</v>
      </c>
      <c r="B127">
        <v>1</v>
      </c>
      <c r="C127">
        <v>1</v>
      </c>
      <c r="D127" s="28">
        <v>45772</v>
      </c>
      <c r="E127" t="s">
        <v>21</v>
      </c>
      <c r="G127" s="30">
        <v>45758.216493055559</v>
      </c>
      <c r="H127" s="1" t="s">
        <v>22</v>
      </c>
      <c r="I127" t="s">
        <v>100</v>
      </c>
      <c r="J127" s="1" t="s">
        <v>101</v>
      </c>
      <c r="K127" s="31">
        <v>45764</v>
      </c>
      <c r="M127" s="28">
        <v>45791</v>
      </c>
      <c r="O127" s="24">
        <v>12.34</v>
      </c>
      <c r="P127" s="24">
        <f>Table1[[#This Row],[Цена за 1 бр. в BGN]]*Table1[[#This Row],[Поръчано Количество]]</f>
        <v>12.34</v>
      </c>
      <c r="Q127" s="1"/>
      <c r="S127" t="str" cm="1">
        <f t="array" ref="S127">_xlfn.SWITCH(T127,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8" spans="1:19" ht="30">
      <c r="A128" s="1" t="s">
        <v>224</v>
      </c>
      <c r="B128">
        <v>1</v>
      </c>
      <c r="C128">
        <v>1</v>
      </c>
      <c r="D128" s="28">
        <v>45770</v>
      </c>
      <c r="E128" t="s">
        <v>87</v>
      </c>
      <c r="G128" s="30">
        <v>45769.220983796295</v>
      </c>
      <c r="H128" s="1" t="s">
        <v>22</v>
      </c>
      <c r="I128" t="s">
        <v>225</v>
      </c>
      <c r="J128" s="1" t="s">
        <v>31</v>
      </c>
      <c r="K128" s="31">
        <v>45772</v>
      </c>
      <c r="M128" s="28"/>
      <c r="O128" s="24">
        <v>329.15699999999998</v>
      </c>
      <c r="P128" s="24">
        <f>Table1[[#This Row],[Цена за 1 бр. в BGN]]*Table1[[#This Row],[Поръчано Количество]]</f>
        <v>329.15699999999998</v>
      </c>
      <c r="Q128" s="1"/>
      <c r="S128" t="str" cm="1">
        <f t="array" ref="S128">_xlfn.SWITCH(T128,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9" spans="1:19">
      <c r="A129" t="s">
        <v>226</v>
      </c>
      <c r="B129">
        <v>1</v>
      </c>
      <c r="C129">
        <v>1</v>
      </c>
      <c r="D129" s="28">
        <v>45770</v>
      </c>
      <c r="E129" t="s">
        <v>87</v>
      </c>
      <c r="G129" s="30">
        <v>45769.221388888887</v>
      </c>
      <c r="H129" s="1" t="s">
        <v>22</v>
      </c>
      <c r="I129" t="s">
        <v>225</v>
      </c>
      <c r="J129" s="1" t="s">
        <v>31</v>
      </c>
      <c r="K129" s="31">
        <v>45772</v>
      </c>
      <c r="M129" s="28"/>
      <c r="O129" s="24">
        <v>902.99400000000003</v>
      </c>
      <c r="P129" s="24">
        <f>Table1[[#This Row],[Цена за 1 бр. в BGN]]*Table1[[#This Row],[Поръчано Количество]]</f>
        <v>902.99400000000003</v>
      </c>
      <c r="Q129" s="1"/>
      <c r="S129" t="str" cm="1">
        <f t="array" ref="S129">_xlfn.SWITCH(T129,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0" spans="1:19" ht="30">
      <c r="A130" t="s">
        <v>227</v>
      </c>
      <c r="B130">
        <v>16</v>
      </c>
      <c r="C130">
        <v>16</v>
      </c>
      <c r="D130" s="28">
        <v>45810</v>
      </c>
      <c r="E130" t="s">
        <v>21</v>
      </c>
      <c r="G130" s="30">
        <v>45769.462384259263</v>
      </c>
      <c r="H130" s="1" t="s">
        <v>42</v>
      </c>
      <c r="I130" t="s">
        <v>228</v>
      </c>
      <c r="J130" s="1"/>
      <c r="K130" s="31"/>
      <c r="M130" s="28"/>
      <c r="O130" s="24"/>
      <c r="P130" s="24">
        <f>Table1[[#This Row],[Цена за 1 бр. в BGN]]*Table1[[#This Row],[Поръчано Количество]]</f>
        <v>0</v>
      </c>
      <c r="Q130" s="1"/>
      <c r="S130" t="str" cm="1">
        <f t="array" ref="S130">_xlfn.SWITCH(T130,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1" spans="1:19" ht="30">
      <c r="A131" t="s">
        <v>229</v>
      </c>
      <c r="B131">
        <v>2</v>
      </c>
      <c r="C131">
        <v>2</v>
      </c>
      <c r="D131" s="28">
        <v>45772</v>
      </c>
      <c r="E131" t="s">
        <v>21</v>
      </c>
      <c r="G131" s="30">
        <v>45771.37400462963</v>
      </c>
      <c r="H131" s="1" t="s">
        <v>22</v>
      </c>
      <c r="J131" s="1" t="s">
        <v>230</v>
      </c>
      <c r="K131" s="31"/>
      <c r="M131" s="28"/>
      <c r="O131" s="24"/>
      <c r="P131" s="24">
        <f>Table1[[#This Row],[Цена за 1 бр. в BGN]]*Table1[[#This Row],[Поръчано Количество]]</f>
        <v>0</v>
      </c>
      <c r="Q131" s="1"/>
      <c r="S131" t="str" cm="1">
        <f t="array" ref="S131">_xlfn.SWITCH(T131,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2" spans="1:19">
      <c r="A132" t="s">
        <v>231</v>
      </c>
      <c r="B132">
        <v>3</v>
      </c>
      <c r="D132" s="28">
        <v>45778</v>
      </c>
      <c r="E132" t="s">
        <v>92</v>
      </c>
      <c r="G132" s="30">
        <v>45775.301666666666</v>
      </c>
      <c r="H132" s="1" t="s">
        <v>22</v>
      </c>
      <c r="J132" s="1" t="s">
        <v>232</v>
      </c>
      <c r="K132" s="31"/>
      <c r="M132" s="28"/>
      <c r="O132" s="24"/>
      <c r="P132" s="24">
        <f>Table1[[#This Row],[Цена за 1 бр. в BGN]]*Table1[[#This Row],[Поръчано Количество]]</f>
        <v>0</v>
      </c>
      <c r="Q132" s="1"/>
      <c r="S132" t="str" cm="1">
        <f t="array" ref="S132">_xlfn.SWITCH(T132,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3" spans="1:19">
      <c r="A133" t="s">
        <v>233</v>
      </c>
      <c r="B133">
        <v>3</v>
      </c>
      <c r="D133" s="28">
        <v>45779</v>
      </c>
      <c r="E133" t="s">
        <v>21</v>
      </c>
      <c r="G133" s="30">
        <v>45775.309432870374</v>
      </c>
      <c r="H133" s="1"/>
      <c r="J133" s="1"/>
      <c r="K133" s="31"/>
      <c r="M133" s="28"/>
      <c r="O133" s="24"/>
      <c r="P133" s="24">
        <f>Table1[[#This Row],[Цена за 1 бр. в BGN]]*Table1[[#This Row],[Поръчано Количество]]</f>
        <v>0</v>
      </c>
      <c r="Q133" s="1"/>
      <c r="S133" t="str" cm="1">
        <f t="array" ref="S133">_xlfn.SWITCH(T133,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4" spans="1:19" ht="30">
      <c r="A134" t="s">
        <v>234</v>
      </c>
      <c r="B134">
        <v>4</v>
      </c>
      <c r="C134">
        <v>4</v>
      </c>
      <c r="D134" s="28">
        <v>45785</v>
      </c>
      <c r="E134" t="s">
        <v>87</v>
      </c>
      <c r="G134" s="30">
        <v>45777.220034722224</v>
      </c>
      <c r="H134" s="1" t="s">
        <v>235</v>
      </c>
      <c r="I134" t="s">
        <v>236</v>
      </c>
      <c r="J134" s="1" t="s">
        <v>35</v>
      </c>
      <c r="K134" s="31"/>
      <c r="M134" s="28"/>
      <c r="O134" s="24">
        <f>1.95583*64.89</f>
        <v>126.9138087</v>
      </c>
      <c r="P134" s="24">
        <f>Table1[[#This Row],[Цена за 1 бр. в BGN]]*Table1[[#This Row],[Поръчано Количество]]</f>
        <v>507.65523480000002</v>
      </c>
      <c r="Q134" s="1"/>
      <c r="S134" t="str" cm="1">
        <f t="array" ref="S134">_xlfn.SWITCH(T134,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5" spans="1:19">
      <c r="A135" t="s">
        <v>237</v>
      </c>
      <c r="B135">
        <v>2</v>
      </c>
      <c r="D135" s="28">
        <v>45799</v>
      </c>
      <c r="E135" t="s">
        <v>21</v>
      </c>
      <c r="G135" s="30">
        <v>45780.203888888886</v>
      </c>
      <c r="H135" s="1"/>
      <c r="J135" s="1" t="s">
        <v>31</v>
      </c>
      <c r="K135" s="31"/>
      <c r="M135" s="28"/>
      <c r="O135" s="24"/>
      <c r="P135" s="24">
        <f>Table1[[#This Row],[Цена за 1 бр. в BGN]]*Table1[[#This Row],[Поръчано Количество]]</f>
        <v>0</v>
      </c>
      <c r="Q135" s="1"/>
      <c r="S135" t="str" cm="1">
        <f t="array" ref="S135">_xlfn.SWITCH(T135,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6" spans="1:19" ht="30">
      <c r="A136" t="s">
        <v>238</v>
      </c>
      <c r="B136">
        <v>1</v>
      </c>
      <c r="D136" s="28">
        <v>45800</v>
      </c>
      <c r="E136" t="s">
        <v>21</v>
      </c>
      <c r="G136" s="30">
        <v>45780.204861111109</v>
      </c>
      <c r="H136" s="1" t="s">
        <v>42</v>
      </c>
      <c r="J136" s="1"/>
      <c r="K136" s="31"/>
      <c r="M136" s="28"/>
      <c r="O136" s="24"/>
      <c r="P136" s="24">
        <f>Table1[[#This Row],[Цена за 1 бр. в BGN]]*Table1[[#This Row],[Поръчано Количество]]</f>
        <v>0</v>
      </c>
      <c r="Q136" s="1"/>
      <c r="S136" t="str" cm="1">
        <f t="array" ref="S136">_xlfn.SWITCH(T136,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7" spans="1:19" ht="30">
      <c r="A137" t="s">
        <v>239</v>
      </c>
      <c r="B137">
        <v>18</v>
      </c>
      <c r="C137">
        <v>18</v>
      </c>
      <c r="D137" s="28" t="s">
        <v>240</v>
      </c>
      <c r="E137" t="s">
        <v>21</v>
      </c>
      <c r="G137" s="30">
        <v>45721.211111111108</v>
      </c>
      <c r="H137" s="1" t="s">
        <v>22</v>
      </c>
      <c r="I137" t="s">
        <v>241</v>
      </c>
      <c r="J137" s="1" t="s">
        <v>46</v>
      </c>
      <c r="K137" s="31">
        <v>45797</v>
      </c>
      <c r="M137" s="28"/>
      <c r="O137" s="24"/>
      <c r="P137" s="24">
        <f>Table1[[#This Row],[Цена за 1 бр. в BGN]]*Table1[[#This Row],[Поръчано Количество]]</f>
        <v>0</v>
      </c>
      <c r="Q137" s="1"/>
      <c r="S137" t="str" cm="1">
        <f t="array" ref="S137">_xlfn.SWITCH(T137,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8" spans="1:19" ht="30">
      <c r="A138" t="s">
        <v>242</v>
      </c>
      <c r="B138">
        <v>2</v>
      </c>
      <c r="C138">
        <v>2</v>
      </c>
      <c r="D138" s="28" t="s">
        <v>243</v>
      </c>
      <c r="E138" t="s">
        <v>21</v>
      </c>
      <c r="G138" s="30">
        <v>45721.220833333333</v>
      </c>
      <c r="H138" s="1" t="s">
        <v>22</v>
      </c>
      <c r="I138" t="s">
        <v>244</v>
      </c>
      <c r="J138" s="1" t="s">
        <v>132</v>
      </c>
      <c r="K138" s="31">
        <v>45797</v>
      </c>
      <c r="M138" s="28">
        <v>45797</v>
      </c>
      <c r="N138">
        <v>2</v>
      </c>
      <c r="O138" s="24">
        <f>350*1.9558</f>
        <v>684.53</v>
      </c>
      <c r="P138" s="24">
        <f>Table1[[#This Row],[Цена за 1 бр. в BGN]]*Table1[[#This Row],[Поръчано Количество]]</f>
        <v>1369.06</v>
      </c>
      <c r="Q138" s="1"/>
      <c r="S138" t="str" cm="1">
        <f t="array" ref="S138">_xlfn.SWITCH(T138,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9" spans="1:19" ht="13.5" customHeight="1">
      <c r="A139" t="s">
        <v>245</v>
      </c>
      <c r="B139">
        <v>8</v>
      </c>
      <c r="C139">
        <v>16</v>
      </c>
      <c r="D139" s="28" t="s">
        <v>246</v>
      </c>
      <c r="E139" t="s">
        <v>87</v>
      </c>
      <c r="G139" s="30">
        <v>45843.22152777778</v>
      </c>
      <c r="H139" s="1" t="s">
        <v>22</v>
      </c>
      <c r="I139" t="s">
        <v>247</v>
      </c>
      <c r="J139" s="1" t="s">
        <v>248</v>
      </c>
      <c r="K139" s="31" t="s">
        <v>249</v>
      </c>
      <c r="L139" t="s">
        <v>250</v>
      </c>
      <c r="M139" s="28" t="s">
        <v>251</v>
      </c>
      <c r="N139">
        <v>16</v>
      </c>
      <c r="O139" s="24">
        <v>248.39</v>
      </c>
      <c r="P139" s="24">
        <f>Table1[[#This Row],[Цена за 1 бр. в BGN]]*Table1[[#This Row],[Поръчано Количество]]</f>
        <v>3974.24</v>
      </c>
      <c r="Q139" s="1" t="s">
        <v>252</v>
      </c>
      <c r="R139" t="s">
        <v>253</v>
      </c>
      <c r="S139" t="str" cm="1">
        <f t="array" ref="S139">_xlfn.SWITCH(T139,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0" spans="1:19">
      <c r="A140" t="s">
        <v>254</v>
      </c>
      <c r="B140">
        <v>1</v>
      </c>
      <c r="C140">
        <v>1</v>
      </c>
      <c r="D140" s="28">
        <v>45790</v>
      </c>
      <c r="E140" t="s">
        <v>21</v>
      </c>
      <c r="G140" s="30">
        <v>45789.186284722222</v>
      </c>
      <c r="H140" s="1" t="s">
        <v>22</v>
      </c>
      <c r="I140" t="s">
        <v>255</v>
      </c>
      <c r="J140" s="1" t="s">
        <v>104</v>
      </c>
      <c r="K140" s="31">
        <v>45792</v>
      </c>
      <c r="M140" s="28">
        <v>45791</v>
      </c>
      <c r="O140" s="24">
        <v>600</v>
      </c>
      <c r="P140" s="24">
        <f>Table1[[#This Row],[Цена за 1 бр. в BGN]]*Table1[[#This Row],[Поръчано Количество]]</f>
        <v>600</v>
      </c>
      <c r="Q140" s="1"/>
      <c r="S140" t="str" cm="1">
        <f t="array" ref="S140">_xlfn.SWITCH(T140,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1" spans="1:19">
      <c r="A141" t="s">
        <v>256</v>
      </c>
      <c r="B141">
        <v>12</v>
      </c>
      <c r="C141">
        <v>12</v>
      </c>
      <c r="D141" s="28">
        <v>45799</v>
      </c>
      <c r="E141" t="s">
        <v>21</v>
      </c>
      <c r="G141" s="30">
        <v>45791.220590277779</v>
      </c>
      <c r="H141" s="1" t="s">
        <v>22</v>
      </c>
      <c r="I141" t="s">
        <v>257</v>
      </c>
      <c r="J141" s="1" t="s">
        <v>101</v>
      </c>
      <c r="K141" s="31"/>
      <c r="M141" s="28">
        <v>45831</v>
      </c>
      <c r="N141">
        <v>12</v>
      </c>
      <c r="O141" s="24">
        <v>14.7</v>
      </c>
      <c r="P141" s="24">
        <f>Table1[[#This Row],[Цена за 1 бр. в BGN]]*Table1[[#This Row],[Поръчано Количество]]</f>
        <v>176.39999999999998</v>
      </c>
      <c r="Q141" s="1"/>
      <c r="S141" t="str" cm="1">
        <f t="array" ref="S141">_xlfn.SWITCH(T141,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2" spans="1:19">
      <c r="A142" t="s">
        <v>258</v>
      </c>
      <c r="B142">
        <v>1</v>
      </c>
      <c r="D142" s="28">
        <v>45806</v>
      </c>
      <c r="E142" t="s">
        <v>21</v>
      </c>
      <c r="G142" s="30">
        <v>45797.388321759259</v>
      </c>
      <c r="H142" s="1"/>
      <c r="J142" s="1"/>
      <c r="K142" s="31"/>
      <c r="M142" s="28"/>
      <c r="O142" s="24"/>
      <c r="P142" s="24">
        <f>Table1[[#This Row],[Цена за 1 бр. в BGN]]*Table1[[#This Row],[Поръчано Количество]]</f>
        <v>0</v>
      </c>
      <c r="Q142" s="1"/>
      <c r="S142" t="str" cm="1">
        <f t="array" ref="S142">_xlfn.SWITCH(T142,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3" spans="1:19">
      <c r="A143" t="s">
        <v>259</v>
      </c>
      <c r="B143">
        <v>1</v>
      </c>
      <c r="D143" s="28">
        <v>45806</v>
      </c>
      <c r="E143" t="s">
        <v>21</v>
      </c>
      <c r="G143" s="30">
        <v>45797.3903587963</v>
      </c>
      <c r="H143" s="1" t="s">
        <v>22</v>
      </c>
      <c r="I143" t="s">
        <v>260</v>
      </c>
      <c r="J143" s="1" t="s">
        <v>261</v>
      </c>
      <c r="K143" s="31"/>
      <c r="M143" s="28"/>
      <c r="O143" s="24">
        <v>180.9</v>
      </c>
      <c r="P143" s="24">
        <f>Table1[[#This Row],[Цена за 1 бр. в BGN]]*Table1[[#This Row],[Поръчано Количество]]</f>
        <v>0</v>
      </c>
      <c r="Q143" s="1"/>
      <c r="S143" t="str" cm="1">
        <f t="array" ref="S143">_xlfn.SWITCH(T143,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4" spans="1:19">
      <c r="A144" t="s">
        <v>262</v>
      </c>
      <c r="B144">
        <v>4</v>
      </c>
      <c r="C144">
        <v>6</v>
      </c>
      <c r="D144" s="28">
        <v>45805</v>
      </c>
      <c r="E144" t="s">
        <v>34</v>
      </c>
      <c r="G144" s="30">
        <v>45797.467118055552</v>
      </c>
      <c r="H144" s="1" t="s">
        <v>22</v>
      </c>
      <c r="I144" t="s">
        <v>263</v>
      </c>
      <c r="J144" s="1" t="s">
        <v>264</v>
      </c>
      <c r="K144" s="31"/>
      <c r="L144" t="s">
        <v>265</v>
      </c>
      <c r="M144" s="28">
        <v>45975</v>
      </c>
      <c r="N144">
        <v>6</v>
      </c>
      <c r="O144" s="24">
        <f>36.69*1.95583</f>
        <v>71.759402699999995</v>
      </c>
      <c r="P144" s="24">
        <f>Table1[[#This Row],[Цена за 1 бр. в BGN]]*Table1[[#This Row],[Поръчано Количество]]</f>
        <v>430.55641619999994</v>
      </c>
      <c r="Q144" s="1"/>
      <c r="S144" t="str" cm="1">
        <f t="array" ref="S144">_xlfn.SWITCH(T144,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5" spans="1:19">
      <c r="A145" t="s">
        <v>266</v>
      </c>
      <c r="B145">
        <v>1</v>
      </c>
      <c r="C145">
        <v>2</v>
      </c>
      <c r="D145" s="28">
        <v>45801</v>
      </c>
      <c r="E145" t="s">
        <v>34</v>
      </c>
      <c r="G145" s="30">
        <v>45801.413622685184</v>
      </c>
      <c r="H145" s="1" t="s">
        <v>22</v>
      </c>
      <c r="J145" s="1"/>
      <c r="K145" s="31"/>
      <c r="M145" s="28">
        <v>45801</v>
      </c>
      <c r="O145" s="24"/>
      <c r="P145" s="24">
        <f>Table1[[#This Row],[Цена за 1 бр. в BGN]]*Table1[[#This Row],[Поръчано Количество]]</f>
        <v>0</v>
      </c>
      <c r="Q145" s="1"/>
      <c r="S145" t="str" cm="1">
        <f t="array" ref="S145">_xlfn.SWITCH(T145,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6" spans="1:19">
      <c r="A146" t="s">
        <v>267</v>
      </c>
      <c r="B146">
        <v>2</v>
      </c>
      <c r="C146">
        <v>2</v>
      </c>
      <c r="D146" s="28">
        <v>45801</v>
      </c>
      <c r="E146" t="s">
        <v>34</v>
      </c>
      <c r="G146" s="30">
        <v>45801.416041666664</v>
      </c>
      <c r="H146" s="1" t="s">
        <v>22</v>
      </c>
      <c r="J146" s="1"/>
      <c r="K146" s="31"/>
      <c r="M146" s="28">
        <v>45801</v>
      </c>
      <c r="O146" s="24"/>
      <c r="P146" s="24">
        <f>Table1[[#This Row],[Цена за 1 бр. в BGN]]*Table1[[#This Row],[Поръчано Количество]]</f>
        <v>0</v>
      </c>
      <c r="Q146" s="1"/>
      <c r="S146" t="str" cm="1">
        <f t="array" ref="S146">_xlfn.SWITCH(T146,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7" spans="1:19">
      <c r="A147" t="s">
        <v>268</v>
      </c>
      <c r="B147">
        <v>2</v>
      </c>
      <c r="C147">
        <v>2</v>
      </c>
      <c r="D147" s="28">
        <v>45801</v>
      </c>
      <c r="E147" t="s">
        <v>34</v>
      </c>
      <c r="G147" s="30">
        <v>45801.417025462964</v>
      </c>
      <c r="H147" s="1" t="s">
        <v>22</v>
      </c>
      <c r="J147" s="1"/>
      <c r="K147" s="31"/>
      <c r="M147" s="28">
        <v>45801</v>
      </c>
      <c r="O147" s="24"/>
      <c r="P147" s="24">
        <f>Table1[[#This Row],[Цена за 1 бр. в BGN]]*Table1[[#This Row],[Поръчано Количество]]</f>
        <v>0</v>
      </c>
      <c r="Q147" s="1"/>
      <c r="S147" t="str" cm="1">
        <f t="array" ref="S147">_xlfn.SWITCH(T147,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8" spans="1:19">
      <c r="A148" t="s">
        <v>269</v>
      </c>
      <c r="B148">
        <v>2</v>
      </c>
      <c r="C148">
        <v>1</v>
      </c>
      <c r="D148" s="28">
        <v>45801</v>
      </c>
      <c r="E148" t="s">
        <v>34</v>
      </c>
      <c r="G148" s="30">
        <v>45801.417708333334</v>
      </c>
      <c r="H148" s="1" t="s">
        <v>22</v>
      </c>
      <c r="J148" s="1"/>
      <c r="K148" s="31"/>
      <c r="M148" s="28">
        <v>45801</v>
      </c>
      <c r="O148" s="24"/>
      <c r="P148" s="24">
        <f>Table1[[#This Row],[Цена за 1 бр. в BGN]]*Table1[[#This Row],[Поръчано Количество]]</f>
        <v>0</v>
      </c>
      <c r="Q148" s="1"/>
      <c r="S148" t="str" cm="1">
        <f t="array" ref="S148">_xlfn.SWITCH(T148,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9" spans="1:19">
      <c r="A149" t="s">
        <v>270</v>
      </c>
      <c r="B149">
        <v>10</v>
      </c>
      <c r="C149">
        <v>12</v>
      </c>
      <c r="D149" s="28">
        <v>45801</v>
      </c>
      <c r="E149" t="s">
        <v>34</v>
      </c>
      <c r="G149" s="30">
        <v>45801.418368055558</v>
      </c>
      <c r="H149" s="1" t="s">
        <v>22</v>
      </c>
      <c r="J149" s="1"/>
      <c r="K149" s="31"/>
      <c r="M149" s="28">
        <v>45801</v>
      </c>
      <c r="O149" s="24"/>
      <c r="P149" s="24">
        <f>Table1[[#This Row],[Цена за 1 бр. в BGN]]*Table1[[#This Row],[Поръчано Количество]]</f>
        <v>0</v>
      </c>
      <c r="Q149" s="1"/>
      <c r="S149" t="str" cm="1">
        <f t="array" ref="S149">_xlfn.SWITCH(T149,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0" spans="1:19" ht="30">
      <c r="A150" t="s">
        <v>271</v>
      </c>
      <c r="B150">
        <v>12</v>
      </c>
      <c r="D150" s="28">
        <v>45813</v>
      </c>
      <c r="E150" t="s">
        <v>21</v>
      </c>
      <c r="G150" s="30">
        <v>45805.464108796295</v>
      </c>
      <c r="H150" s="1" t="s">
        <v>22</v>
      </c>
      <c r="J150" s="1" t="s">
        <v>46</v>
      </c>
      <c r="K150" s="31"/>
      <c r="M150" s="28"/>
      <c r="O150" s="24"/>
      <c r="P150" s="24">
        <f>Table1[[#This Row],[Цена за 1 бр. в BGN]]*Table1[[#This Row],[Поръчано Количество]]</f>
        <v>0</v>
      </c>
      <c r="Q150" s="1"/>
      <c r="S150" t="str" cm="1">
        <f t="array" ref="S150">_xlfn.SWITCH(T150,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1" spans="1:19">
      <c r="A151" t="s">
        <v>272</v>
      </c>
      <c r="B151">
        <v>2</v>
      </c>
      <c r="C151">
        <v>2</v>
      </c>
      <c r="D151" s="28">
        <v>45812</v>
      </c>
      <c r="E151" t="s">
        <v>34</v>
      </c>
      <c r="G151" s="30">
        <v>45810.210196759261</v>
      </c>
      <c r="H151" s="1" t="s">
        <v>22</v>
      </c>
      <c r="J151" s="1"/>
      <c r="K151" s="31"/>
      <c r="M151" s="28"/>
      <c r="O151" s="24"/>
      <c r="P151" s="24">
        <f>Table1[[#This Row],[Цена за 1 бр. в BGN]]*Table1[[#This Row],[Поръчано Количество]]</f>
        <v>0</v>
      </c>
      <c r="Q151" s="1"/>
      <c r="S151" t="str" cm="1">
        <f t="array" ref="S151">_xlfn.SWITCH(T151,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2" spans="1:19">
      <c r="A152" t="s">
        <v>273</v>
      </c>
      <c r="B152">
        <v>500</v>
      </c>
      <c r="D152" s="28">
        <v>45812</v>
      </c>
      <c r="E152" t="s">
        <v>34</v>
      </c>
      <c r="G152" s="30">
        <v>45812.358587962961</v>
      </c>
      <c r="H152" s="1" t="s">
        <v>22</v>
      </c>
      <c r="J152" s="1"/>
      <c r="K152" s="31"/>
      <c r="M152" s="28"/>
      <c r="O152" s="24"/>
      <c r="P152" s="24">
        <f>Table1[[#This Row],[Цена за 1 бр. в BGN]]*Table1[[#This Row],[Поръчано Количество]]</f>
        <v>0</v>
      </c>
      <c r="Q152" s="1"/>
      <c r="S152" t="str" cm="1">
        <f t="array" ref="S152">_xlfn.SWITCH(T152,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3" spans="1:19" ht="30">
      <c r="A153" t="s">
        <v>274</v>
      </c>
      <c r="B153">
        <v>2</v>
      </c>
      <c r="C153">
        <v>3</v>
      </c>
      <c r="D153" s="28">
        <v>45835</v>
      </c>
      <c r="E153" t="s">
        <v>87</v>
      </c>
      <c r="G153" s="30">
        <v>45815.195092592592</v>
      </c>
      <c r="H153" s="1" t="s">
        <v>22</v>
      </c>
      <c r="I153" t="s">
        <v>275</v>
      </c>
      <c r="J153" s="1" t="s">
        <v>276</v>
      </c>
      <c r="K153" s="31">
        <v>45839</v>
      </c>
      <c r="L153" t="s">
        <v>277</v>
      </c>
      <c r="M153" s="28">
        <v>45839</v>
      </c>
      <c r="N153">
        <v>3</v>
      </c>
      <c r="O153" s="24">
        <f>1.95583*113.91</f>
        <v>222.7885953</v>
      </c>
      <c r="P153" s="24">
        <f>Table1[[#This Row],[Цена за 1 бр. в BGN]]*Table1[[#This Row],[Поръчано Количество]]</f>
        <v>668.36578589999999</v>
      </c>
      <c r="Q153" s="1" t="s">
        <v>278</v>
      </c>
      <c r="R153" t="s">
        <v>279</v>
      </c>
      <c r="S153" t="str" cm="1">
        <f t="array" ref="S153">_xlfn.SWITCH(T153,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4" spans="1:19">
      <c r="A154" t="s">
        <v>280</v>
      </c>
      <c r="B154">
        <v>4</v>
      </c>
      <c r="C154">
        <v>4</v>
      </c>
      <c r="D154" s="28">
        <v>45834</v>
      </c>
      <c r="E154" t="s">
        <v>87</v>
      </c>
      <c r="G154" s="30">
        <v>45815.316296296296</v>
      </c>
      <c r="H154" s="1" t="s">
        <v>22</v>
      </c>
      <c r="I154" t="s">
        <v>281</v>
      </c>
      <c r="J154" s="1" t="s">
        <v>101</v>
      </c>
      <c r="K154" s="31"/>
      <c r="M154" s="28"/>
      <c r="O154" s="24"/>
      <c r="P154" s="24">
        <f>Table1[[#This Row],[Цена за 1 бр. в BGN]]*Table1[[#This Row],[Поръчано Количество]]</f>
        <v>0</v>
      </c>
      <c r="Q154" s="1"/>
      <c r="S154" t="str" cm="1">
        <f t="array" ref="S154">_xlfn.SWITCH(T154,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5" spans="1:19">
      <c r="A155" t="s">
        <v>282</v>
      </c>
      <c r="B155">
        <v>4</v>
      </c>
      <c r="C155">
        <v>4</v>
      </c>
      <c r="D155" s="28">
        <v>45835</v>
      </c>
      <c r="E155" t="s">
        <v>87</v>
      </c>
      <c r="G155" s="30">
        <v>45815.316724537035</v>
      </c>
      <c r="H155" s="1" t="s">
        <v>22</v>
      </c>
      <c r="I155" t="s">
        <v>281</v>
      </c>
      <c r="J155" s="1" t="s">
        <v>101</v>
      </c>
      <c r="K155" s="31"/>
      <c r="M155" s="28"/>
      <c r="O155" s="24"/>
      <c r="P155" s="24">
        <f>Table1[[#This Row],[Цена за 1 бр. в BGN]]*Table1[[#This Row],[Поръчано Количество]]</f>
        <v>0</v>
      </c>
      <c r="Q155" s="1"/>
      <c r="S155" t="str" cm="1">
        <f t="array" ref="S155">_xlfn.SWITCH(T155,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6" spans="1:19">
      <c r="A156" t="s">
        <v>283</v>
      </c>
      <c r="B156">
        <v>4</v>
      </c>
      <c r="C156">
        <v>4</v>
      </c>
      <c r="D156" s="28">
        <v>45834</v>
      </c>
      <c r="E156" t="s">
        <v>87</v>
      </c>
      <c r="G156" s="30">
        <v>45815.317210648151</v>
      </c>
      <c r="H156" s="1" t="s">
        <v>22</v>
      </c>
      <c r="I156" t="s">
        <v>281</v>
      </c>
      <c r="J156" s="1" t="s">
        <v>101</v>
      </c>
      <c r="K156" s="31"/>
      <c r="M156" s="28"/>
      <c r="N156">
        <v>2</v>
      </c>
      <c r="O156" s="24">
        <v>52</v>
      </c>
      <c r="P156" s="24">
        <f>Table1[[#This Row],[Цена за 1 бр. в BGN]]*Table1[[#This Row],[Поръчано Количество]]</f>
        <v>208</v>
      </c>
      <c r="Q156" s="1"/>
      <c r="S156" t="str" cm="1">
        <f t="array" ref="S156">_xlfn.SWITCH(T156,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7" spans="1:19">
      <c r="A157" t="s">
        <v>284</v>
      </c>
      <c r="B157">
        <v>4</v>
      </c>
      <c r="C157">
        <v>4</v>
      </c>
      <c r="D157" s="28">
        <v>45834</v>
      </c>
      <c r="E157" t="s">
        <v>87</v>
      </c>
      <c r="G157" s="30">
        <v>45815.318252314813</v>
      </c>
      <c r="H157" s="1" t="s">
        <v>22</v>
      </c>
      <c r="I157" t="s">
        <v>281</v>
      </c>
      <c r="J157" s="1" t="s">
        <v>101</v>
      </c>
      <c r="K157" s="31"/>
      <c r="M157" s="28"/>
      <c r="O157" s="24"/>
      <c r="P157" s="24">
        <f>Table1[[#This Row],[Цена за 1 бр. в BGN]]*Table1[[#This Row],[Поръчано Количество]]</f>
        <v>0</v>
      </c>
      <c r="Q157" s="1"/>
      <c r="S157" t="str" cm="1">
        <f t="array" ref="S157">_xlfn.SWITCH(T157,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8" spans="1:19">
      <c r="A158" t="s">
        <v>285</v>
      </c>
      <c r="B158">
        <v>4</v>
      </c>
      <c r="C158">
        <v>4</v>
      </c>
      <c r="D158" s="28">
        <v>45834</v>
      </c>
      <c r="E158" t="s">
        <v>87</v>
      </c>
      <c r="G158" s="30">
        <v>45815.31863425926</v>
      </c>
      <c r="H158" s="1" t="s">
        <v>22</v>
      </c>
      <c r="I158" t="s">
        <v>281</v>
      </c>
      <c r="J158" s="1" t="s">
        <v>101</v>
      </c>
      <c r="K158" s="31"/>
      <c r="M158" s="28"/>
      <c r="O158" s="24"/>
      <c r="P158" s="24">
        <f>Table1[[#This Row],[Цена за 1 бр. в BGN]]*Table1[[#This Row],[Поръчано Количество]]</f>
        <v>0</v>
      </c>
      <c r="Q158" s="1"/>
      <c r="S158" t="str" cm="1">
        <f t="array" ref="S158">_xlfn.SWITCH(T158,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9" spans="1:19">
      <c r="A159" t="s">
        <v>286</v>
      </c>
      <c r="B159">
        <v>4</v>
      </c>
      <c r="C159">
        <v>4</v>
      </c>
      <c r="D159" s="28">
        <v>45827</v>
      </c>
      <c r="E159" t="s">
        <v>87</v>
      </c>
      <c r="G159" s="30">
        <v>45815.319895833331</v>
      </c>
      <c r="H159" s="1" t="s">
        <v>22</v>
      </c>
      <c r="I159" t="s">
        <v>281</v>
      </c>
      <c r="J159" s="1" t="s">
        <v>101</v>
      </c>
      <c r="K159" s="31"/>
      <c r="M159" s="28">
        <v>45826</v>
      </c>
      <c r="O159" s="24"/>
      <c r="P159" s="24">
        <f>Table1[[#This Row],[Цена за 1 бр. в BGN]]*Table1[[#This Row],[Поръчано Количество]]</f>
        <v>0</v>
      </c>
      <c r="Q159" s="1"/>
      <c r="S159" t="str" cm="1">
        <f t="array" ref="S159">_xlfn.SWITCH(T159,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0" spans="1:19">
      <c r="A160" t="s">
        <v>287</v>
      </c>
      <c r="B160">
        <v>4</v>
      </c>
      <c r="C160">
        <v>4</v>
      </c>
      <c r="D160" s="28">
        <v>45834</v>
      </c>
      <c r="E160" t="s">
        <v>87</v>
      </c>
      <c r="G160" s="30">
        <v>45815.320671296293</v>
      </c>
      <c r="H160" s="1" t="s">
        <v>22</v>
      </c>
      <c r="I160" t="s">
        <v>281</v>
      </c>
      <c r="J160" s="1" t="s">
        <v>101</v>
      </c>
      <c r="K160" s="31"/>
      <c r="M160" s="28">
        <v>45826</v>
      </c>
      <c r="O160" s="24"/>
      <c r="P160" s="24">
        <f>Table1[[#This Row],[Цена за 1 бр. в BGN]]*Table1[[#This Row],[Поръчано Количество]]</f>
        <v>0</v>
      </c>
      <c r="Q160" s="1"/>
      <c r="S160" t="str" cm="1">
        <f t="array" ref="S160">_xlfn.SWITCH(T160,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1" spans="1:19">
      <c r="A161" t="s">
        <v>288</v>
      </c>
      <c r="B161">
        <v>4</v>
      </c>
      <c r="C161">
        <v>4</v>
      </c>
      <c r="D161" s="28">
        <v>45819</v>
      </c>
      <c r="E161" t="s">
        <v>87</v>
      </c>
      <c r="G161" s="30">
        <v>45815.32167824074</v>
      </c>
      <c r="H161" s="1" t="s">
        <v>22</v>
      </c>
      <c r="I161" t="s">
        <v>281</v>
      </c>
      <c r="J161" s="1" t="s">
        <v>101</v>
      </c>
      <c r="K161" s="31"/>
      <c r="M161" s="28">
        <v>45826</v>
      </c>
      <c r="O161" s="24"/>
      <c r="P161" s="24">
        <f>Table1[[#This Row],[Цена за 1 бр. в BGN]]*Table1[[#This Row],[Поръчано Количество]]</f>
        <v>0</v>
      </c>
      <c r="Q161" s="1"/>
      <c r="S161" t="str" cm="1">
        <f t="array" ref="S161">_xlfn.SWITCH(T161,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2" spans="1:19">
      <c r="A162" t="s">
        <v>289</v>
      </c>
      <c r="B162">
        <v>3</v>
      </c>
      <c r="C162">
        <v>3</v>
      </c>
      <c r="D162" s="28">
        <v>45825</v>
      </c>
      <c r="E162" t="s">
        <v>21</v>
      </c>
      <c r="G162" s="30">
        <v>45824.188368055555</v>
      </c>
      <c r="H162" s="1" t="s">
        <v>22</v>
      </c>
      <c r="I162" t="s">
        <v>72</v>
      </c>
      <c r="J162" s="1" t="s">
        <v>73</v>
      </c>
      <c r="K162" s="31">
        <v>45938</v>
      </c>
      <c r="M162" s="28"/>
      <c r="O162" s="24">
        <v>315.56</v>
      </c>
      <c r="P162" s="24">
        <f>Table1[[#This Row],[Цена за 1 бр. в BGN]]*Table1[[#This Row],[Поръчано Количество]]</f>
        <v>946.68000000000006</v>
      </c>
      <c r="Q162" s="1"/>
      <c r="S162" t="str" cm="1">
        <f t="array" ref="S162">_xlfn.SWITCH(T162,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3" spans="1:19" ht="30">
      <c r="A163" t="s">
        <v>290</v>
      </c>
      <c r="B163">
        <v>4</v>
      </c>
      <c r="C163">
        <v>4</v>
      </c>
      <c r="D163" s="28">
        <v>45835</v>
      </c>
      <c r="E163" t="s">
        <v>21</v>
      </c>
      <c r="G163" s="30">
        <v>45831.359039351853</v>
      </c>
      <c r="H163" s="1" t="s">
        <v>22</v>
      </c>
      <c r="J163" s="1" t="s">
        <v>46</v>
      </c>
      <c r="K163" s="31"/>
      <c r="M163" s="28">
        <v>45840</v>
      </c>
      <c r="O163" s="24"/>
      <c r="P163" s="24">
        <f>Table1[[#This Row],[Цена за 1 бр. в BGN]]*Table1[[#This Row],[Поръчано Количество]]</f>
        <v>0</v>
      </c>
      <c r="Q163" s="1"/>
      <c r="S163" t="str" cm="1">
        <f t="array" ref="S163">_xlfn.SWITCH(T163,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4" spans="1:19">
      <c r="A164" t="s">
        <v>291</v>
      </c>
      <c r="B164">
        <v>1</v>
      </c>
      <c r="D164" s="28">
        <v>45857</v>
      </c>
      <c r="E164" t="s">
        <v>63</v>
      </c>
      <c r="G164" s="30">
        <v>45841.188564814816</v>
      </c>
      <c r="H164" s="1" t="s">
        <v>22</v>
      </c>
      <c r="J164" s="1" t="s">
        <v>58</v>
      </c>
      <c r="K164" s="31"/>
      <c r="M164" s="28"/>
      <c r="O164" s="24">
        <v>7.38</v>
      </c>
      <c r="P164" s="24">
        <f>Table1[[#This Row],[Цена за 1 бр. в BGN]]*Table1[[#This Row],[Поръчано Количество]]</f>
        <v>0</v>
      </c>
      <c r="Q164" s="1"/>
      <c r="S164" t="str" cm="1">
        <f t="array" ref="S164">_xlfn.SWITCH(T164,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5" spans="1:19">
      <c r="A165" t="s">
        <v>292</v>
      </c>
      <c r="B165">
        <v>2</v>
      </c>
      <c r="C165">
        <v>2</v>
      </c>
      <c r="D165" s="28">
        <v>45849</v>
      </c>
      <c r="E165" t="s">
        <v>63</v>
      </c>
      <c r="G165" s="30">
        <v>45847.177662037036</v>
      </c>
      <c r="H165" s="1" t="s">
        <v>22</v>
      </c>
      <c r="I165">
        <v>1303037255</v>
      </c>
      <c r="J165" s="1" t="s">
        <v>293</v>
      </c>
      <c r="K165" s="31">
        <v>45849</v>
      </c>
      <c r="M165" s="28"/>
      <c r="O165" s="24">
        <v>135.96</v>
      </c>
      <c r="P165" s="24">
        <f>Table1[[#This Row],[Цена за 1 бр. в BGN]]*Table1[[#This Row],[Поръчано Количество]]</f>
        <v>271.92</v>
      </c>
      <c r="Q165" s="1"/>
      <c r="S165" t="str" cm="1">
        <f t="array" ref="S165">_xlfn.SWITCH(T165,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6" spans="1:19" ht="30">
      <c r="A166" t="s">
        <v>294</v>
      </c>
      <c r="B166">
        <v>2</v>
      </c>
      <c r="D166" s="28">
        <v>45869</v>
      </c>
      <c r="E166" t="s">
        <v>21</v>
      </c>
      <c r="G166" s="30">
        <v>45848.343206018515</v>
      </c>
      <c r="H166" s="1"/>
      <c r="J166" s="1" t="s">
        <v>295</v>
      </c>
      <c r="K166" s="31"/>
      <c r="M166" s="28"/>
      <c r="O166" s="24"/>
      <c r="P166" s="24">
        <f>Table1[[#This Row],[Цена за 1 бр. в BGN]]*Table1[[#This Row],[Поръчано Количество]]</f>
        <v>0</v>
      </c>
      <c r="Q166" s="1"/>
      <c r="S166" t="str" cm="1">
        <f t="array" ref="S166">_xlfn.SWITCH(T166,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7" spans="1:19">
      <c r="A167" t="s">
        <v>296</v>
      </c>
      <c r="B167">
        <v>2</v>
      </c>
      <c r="D167" s="28">
        <v>45869</v>
      </c>
      <c r="E167" t="s">
        <v>21</v>
      </c>
      <c r="G167" s="30">
        <v>45848.344490740739</v>
      </c>
      <c r="H167" s="1"/>
      <c r="J167" s="1"/>
      <c r="K167" s="31"/>
      <c r="M167" s="28"/>
      <c r="O167" s="24"/>
      <c r="P167" s="24">
        <f>Table1[[#This Row],[Цена за 1 бр. в BGN]]*Table1[[#This Row],[Поръчано Количество]]</f>
        <v>0</v>
      </c>
      <c r="Q167" s="1"/>
      <c r="S167" t="str" cm="1">
        <f t="array" ref="S167">_xlfn.SWITCH(T167,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8" spans="1:19">
      <c r="A168" t="s">
        <v>297</v>
      </c>
      <c r="B168">
        <v>2</v>
      </c>
      <c r="D168" s="28">
        <v>45869</v>
      </c>
      <c r="E168" t="s">
        <v>21</v>
      </c>
      <c r="G168" s="30">
        <v>45848.344953703701</v>
      </c>
      <c r="H168" s="1"/>
      <c r="J168" s="1"/>
      <c r="K168" s="31"/>
      <c r="M168" s="28"/>
      <c r="O168" s="24"/>
      <c r="P168" s="24">
        <f>Table1[[#This Row],[Цена за 1 бр. в BGN]]*Table1[[#This Row],[Поръчано Количество]]</f>
        <v>0</v>
      </c>
      <c r="Q168" s="1"/>
      <c r="S168" t="str" cm="1">
        <f t="array" ref="S168">_xlfn.SWITCH(T168,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9" spans="1:19">
      <c r="A169" t="s">
        <v>298</v>
      </c>
      <c r="B169">
        <v>2</v>
      </c>
      <c r="D169" s="28">
        <v>45869</v>
      </c>
      <c r="E169" t="s">
        <v>21</v>
      </c>
      <c r="G169" s="30">
        <v>45848.345752314817</v>
      </c>
      <c r="H169" s="1"/>
      <c r="J169" s="1"/>
      <c r="K169" s="31"/>
      <c r="M169" s="28"/>
      <c r="O169" s="24"/>
      <c r="P169" s="24">
        <f>Table1[[#This Row],[Цена за 1 бр. в BGN]]*Table1[[#This Row],[Поръчано Количество]]</f>
        <v>0</v>
      </c>
      <c r="Q169" s="1"/>
      <c r="S169" t="str" cm="1">
        <f t="array" ref="S169">_xlfn.SWITCH(T169,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0" spans="1:19">
      <c r="A170" t="s">
        <v>299</v>
      </c>
      <c r="B170">
        <v>12</v>
      </c>
      <c r="D170" s="28">
        <v>45856</v>
      </c>
      <c r="E170" t="s">
        <v>92</v>
      </c>
      <c r="G170" s="30">
        <v>45854.199571759258</v>
      </c>
      <c r="H170" s="1" t="s">
        <v>22</v>
      </c>
      <c r="J170" s="1" t="s">
        <v>300</v>
      </c>
      <c r="K170" s="31"/>
      <c r="M170" s="28"/>
      <c r="O170" s="24"/>
      <c r="P170" s="24">
        <f>Table1[[#This Row],[Цена за 1 бр. в BGN]]*Table1[[#This Row],[Поръчано Количество]]</f>
        <v>0</v>
      </c>
      <c r="Q170" s="1"/>
      <c r="S170" t="str" cm="1">
        <f t="array" ref="S170">_xlfn.SWITCH(T170,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1" spans="1:19">
      <c r="A171" t="s">
        <v>301</v>
      </c>
      <c r="B171">
        <v>1</v>
      </c>
      <c r="C171">
        <v>1</v>
      </c>
      <c r="D171" s="28">
        <v>45856</v>
      </c>
      <c r="E171" t="s">
        <v>92</v>
      </c>
      <c r="G171" s="30">
        <v>45854.199814814812</v>
      </c>
      <c r="H171" s="1" t="s">
        <v>22</v>
      </c>
      <c r="J171" s="1"/>
      <c r="K171" s="31"/>
      <c r="M171" s="28"/>
      <c r="O171" s="24"/>
      <c r="P171" s="24">
        <f>Table1[[#This Row],[Цена за 1 бр. в BGN]]*Table1[[#This Row],[Поръчано Количество]]</f>
        <v>0</v>
      </c>
      <c r="Q171" s="1"/>
      <c r="S171" t="str" cm="1">
        <f t="array" ref="S171">_xlfn.SWITCH(T171,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2" spans="1:19">
      <c r="A172" t="s">
        <v>302</v>
      </c>
      <c r="B172">
        <v>1</v>
      </c>
      <c r="C172">
        <v>2</v>
      </c>
      <c r="D172" s="28">
        <v>45863</v>
      </c>
      <c r="E172" t="s">
        <v>92</v>
      </c>
      <c r="G172" s="30">
        <v>45854.20003472222</v>
      </c>
      <c r="H172" s="1" t="s">
        <v>22</v>
      </c>
      <c r="J172" s="1" t="s">
        <v>221</v>
      </c>
      <c r="K172" s="31"/>
      <c r="M172" s="28"/>
      <c r="O172" s="24"/>
      <c r="P172" s="24">
        <f>Table1[[#This Row],[Цена за 1 бр. в BGN]]*Table1[[#This Row],[Поръчано Количество]]</f>
        <v>0</v>
      </c>
      <c r="Q172" s="1"/>
      <c r="S172" t="str" cm="1">
        <f t="array" ref="S172">_xlfn.SWITCH(T172,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3" spans="1:19" ht="30">
      <c r="A173" t="s">
        <v>303</v>
      </c>
      <c r="B173">
        <v>2</v>
      </c>
      <c r="C173">
        <v>2</v>
      </c>
      <c r="D173" s="28">
        <v>45898</v>
      </c>
      <c r="E173" t="s">
        <v>34</v>
      </c>
      <c r="G173" s="30">
        <v>45854.386701388888</v>
      </c>
      <c r="H173" s="1" t="s">
        <v>22</v>
      </c>
      <c r="J173" s="1" t="s">
        <v>304</v>
      </c>
      <c r="K173" s="31"/>
      <c r="M173" s="28">
        <v>45951</v>
      </c>
      <c r="N173">
        <v>2</v>
      </c>
      <c r="O173" s="24">
        <v>486</v>
      </c>
      <c r="P173" s="24">
        <f>Table1[[#This Row],[Цена за 1 бр. в BGN]]*Table1[[#This Row],[Поръчано Количество]]</f>
        <v>972</v>
      </c>
      <c r="Q173" s="1" t="s">
        <v>305</v>
      </c>
      <c r="S173" t="str" cm="1">
        <f t="array" ref="S173">_xlfn.SWITCH(T173,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4" spans="1:19" ht="30">
      <c r="A174" t="s">
        <v>306</v>
      </c>
      <c r="B174">
        <v>4</v>
      </c>
      <c r="C174">
        <v>4</v>
      </c>
      <c r="D174" s="28">
        <v>45898</v>
      </c>
      <c r="E174" t="s">
        <v>34</v>
      </c>
      <c r="G174" s="30">
        <v>45854.386921296296</v>
      </c>
      <c r="H174" s="1" t="s">
        <v>22</v>
      </c>
      <c r="J174" s="1" t="s">
        <v>304</v>
      </c>
      <c r="K174" s="31"/>
      <c r="M174" s="28">
        <v>45951</v>
      </c>
      <c r="N174">
        <v>4</v>
      </c>
      <c r="O174" s="24">
        <v>108</v>
      </c>
      <c r="P174" s="24">
        <f>Table1[[#This Row],[Цена за 1 бр. в BGN]]*Table1[[#This Row],[Поръчано Количество]]</f>
        <v>432</v>
      </c>
      <c r="Q174" s="1" t="s">
        <v>305</v>
      </c>
      <c r="S174" t="str" cm="1">
        <f t="array" ref="S174">_xlfn.SWITCH(T174,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5" spans="1:19" ht="45">
      <c r="A175" t="s">
        <v>307</v>
      </c>
      <c r="B175">
        <v>4</v>
      </c>
      <c r="D175" s="28">
        <v>45861</v>
      </c>
      <c r="E175" t="s">
        <v>21</v>
      </c>
      <c r="G175" s="30">
        <v>45854.49726851852</v>
      </c>
      <c r="H175" s="1" t="s">
        <v>22</v>
      </c>
      <c r="I175" t="s">
        <v>308</v>
      </c>
      <c r="J175" s="1" t="s">
        <v>88</v>
      </c>
      <c r="K175" s="31"/>
      <c r="M175" s="28"/>
      <c r="O175" s="24"/>
      <c r="P175" s="24">
        <f>Table1[[#This Row],[Цена за 1 бр. в BGN]]*Table1[[#This Row],[Поръчано Количество]]</f>
        <v>0</v>
      </c>
      <c r="Q175" s="1"/>
      <c r="S175" t="str" cm="1">
        <f t="array" ref="S175">_xlfn.SWITCH(T175,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6" spans="1:19" ht="45">
      <c r="A176" t="s">
        <v>309</v>
      </c>
      <c r="B176">
        <v>2</v>
      </c>
      <c r="D176" s="28">
        <v>45861</v>
      </c>
      <c r="E176" t="s">
        <v>21</v>
      </c>
      <c r="G176" s="30">
        <v>45854.497743055559</v>
      </c>
      <c r="H176" s="1" t="s">
        <v>22</v>
      </c>
      <c r="I176" t="s">
        <v>308</v>
      </c>
      <c r="J176" s="1" t="s">
        <v>88</v>
      </c>
      <c r="K176" s="31"/>
      <c r="M176" s="28"/>
      <c r="O176" s="24"/>
      <c r="P176" s="24">
        <f>Table1[[#This Row],[Цена за 1 бр. в BGN]]*Table1[[#This Row],[Поръчано Количество]]</f>
        <v>0</v>
      </c>
      <c r="Q176" s="1"/>
      <c r="S176" t="str" cm="1">
        <f t="array" ref="S176">_xlfn.SWITCH(T176,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7" spans="1:19">
      <c r="A177" t="s">
        <v>310</v>
      </c>
      <c r="B177">
        <v>6</v>
      </c>
      <c r="D177" s="28">
        <v>45861</v>
      </c>
      <c r="E177" t="s">
        <v>21</v>
      </c>
      <c r="G177" s="30">
        <v>45854.499699074076</v>
      </c>
      <c r="H177" s="1" t="s">
        <v>22</v>
      </c>
      <c r="I177" t="s">
        <v>308</v>
      </c>
      <c r="J177" s="1" t="s">
        <v>232</v>
      </c>
      <c r="K177" s="31"/>
      <c r="M177" s="28"/>
      <c r="O177" s="24"/>
      <c r="P177" s="24">
        <f>Table1[[#This Row],[Цена за 1 бр. в BGN]]*Table1[[#This Row],[Поръчано Количество]]</f>
        <v>0</v>
      </c>
      <c r="Q177" s="1"/>
      <c r="S177" t="str" cm="1">
        <f t="array" ref="S177">_xlfn.SWITCH(T177,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8" spans="1:19">
      <c r="A178" t="s">
        <v>311</v>
      </c>
      <c r="B178">
        <v>1</v>
      </c>
      <c r="D178" s="28">
        <v>45863</v>
      </c>
      <c r="E178" t="s">
        <v>21</v>
      </c>
      <c r="G178" s="30">
        <v>45861.3908912037</v>
      </c>
      <c r="H178" s="1"/>
      <c r="J178" s="1"/>
      <c r="K178" s="31"/>
      <c r="M178" s="28"/>
      <c r="O178" s="24"/>
      <c r="P178" s="24">
        <f>Table1[[#This Row],[Цена за 1 бр. в BGN]]*Table1[[#This Row],[Поръчано Количество]]</f>
        <v>0</v>
      </c>
      <c r="Q178" s="1"/>
      <c r="S178" t="str" cm="1">
        <f t="array" ref="S178">_xlfn.SWITCH(T178,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9" spans="1:19">
      <c r="A179" t="s">
        <v>312</v>
      </c>
      <c r="B179">
        <v>4</v>
      </c>
      <c r="D179" s="28">
        <v>45882</v>
      </c>
      <c r="E179" t="s">
        <v>34</v>
      </c>
      <c r="G179" s="30">
        <v>45861.392546296294</v>
      </c>
      <c r="H179" s="1"/>
      <c r="J179" s="1"/>
      <c r="K179" s="31"/>
      <c r="M179" s="28"/>
      <c r="O179" s="24"/>
      <c r="P179" s="24">
        <f>Table1[[#This Row],[Цена за 1 бр. в BGN]]*Table1[[#This Row],[Поръчано Количество]]</f>
        <v>0</v>
      </c>
      <c r="Q179" s="1"/>
      <c r="S179" t="str" cm="1">
        <f t="array" ref="S179">_xlfn.SWITCH(T179,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0" spans="1:19">
      <c r="A180" t="s">
        <v>313</v>
      </c>
      <c r="B180">
        <v>10</v>
      </c>
      <c r="C180">
        <v>10</v>
      </c>
      <c r="D180" s="28">
        <v>45863</v>
      </c>
      <c r="E180" t="s">
        <v>21</v>
      </c>
      <c r="G180" s="30">
        <v>45861.39303240741</v>
      </c>
      <c r="H180" s="1" t="s">
        <v>22</v>
      </c>
      <c r="I180" t="s">
        <v>314</v>
      </c>
      <c r="J180" s="1" t="s">
        <v>205</v>
      </c>
      <c r="K180" s="31"/>
      <c r="M180" s="28"/>
      <c r="O180" s="24"/>
      <c r="P180" s="24">
        <f>Table1[[#This Row],[Цена за 1 бр. в BGN]]*Table1[[#This Row],[Поръчано Количество]]</f>
        <v>0</v>
      </c>
      <c r="Q180" s="1"/>
      <c r="S180" t="str" cm="1">
        <f t="array" ref="S180">_xlfn.SWITCH(T180,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1" spans="1:19">
      <c r="A181" t="s">
        <v>315</v>
      </c>
      <c r="B181">
        <v>6</v>
      </c>
      <c r="C181">
        <v>6</v>
      </c>
      <c r="D181" s="28">
        <v>45863</v>
      </c>
      <c r="E181" t="s">
        <v>21</v>
      </c>
      <c r="G181" s="30">
        <v>45861.393425925926</v>
      </c>
      <c r="H181" s="1" t="s">
        <v>22</v>
      </c>
      <c r="I181" t="s">
        <v>314</v>
      </c>
      <c r="J181" s="1" t="s">
        <v>205</v>
      </c>
      <c r="K181" s="31"/>
      <c r="M181" s="28"/>
      <c r="O181" s="24"/>
      <c r="P181" s="24">
        <f>Table1[[#This Row],[Цена за 1 бр. в BGN]]*Table1[[#This Row],[Поръчано Количество]]</f>
        <v>0</v>
      </c>
      <c r="Q181" s="1"/>
      <c r="S181" t="str" cm="1">
        <f t="array" ref="S181">_xlfn.SWITCH(T181,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2" spans="1:19">
      <c r="A182" t="s">
        <v>316</v>
      </c>
      <c r="B182">
        <v>2</v>
      </c>
      <c r="C182">
        <v>2</v>
      </c>
      <c r="D182" s="28">
        <v>45869</v>
      </c>
      <c r="E182" t="s">
        <v>21</v>
      </c>
      <c r="G182" s="30">
        <v>45861.393807870372</v>
      </c>
      <c r="H182" s="1" t="s">
        <v>22</v>
      </c>
      <c r="I182" t="s">
        <v>314</v>
      </c>
      <c r="J182" s="1" t="s">
        <v>205</v>
      </c>
      <c r="K182" s="31"/>
      <c r="M182" s="28"/>
      <c r="O182" s="24"/>
      <c r="P182" s="24">
        <f>Table1[[#This Row],[Цена за 1 бр. в BGN]]*Table1[[#This Row],[Поръчано Количество]]</f>
        <v>0</v>
      </c>
      <c r="Q182" s="1"/>
      <c r="S182" t="str" cm="1">
        <f t="array" ref="S182">_xlfn.SWITCH(T182,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3" spans="1:19">
      <c r="A183" t="s">
        <v>317</v>
      </c>
      <c r="B183">
        <v>5</v>
      </c>
      <c r="C183">
        <v>5</v>
      </c>
      <c r="D183" s="28">
        <v>45863</v>
      </c>
      <c r="E183" t="s">
        <v>21</v>
      </c>
      <c r="G183" s="30">
        <v>45861.394282407404</v>
      </c>
      <c r="H183" s="1" t="s">
        <v>22</v>
      </c>
      <c r="I183" t="s">
        <v>314</v>
      </c>
      <c r="J183" s="1" t="s">
        <v>205</v>
      </c>
      <c r="K183" s="31"/>
      <c r="M183" s="28"/>
      <c r="O183" s="24"/>
      <c r="P183" s="24">
        <f>Table1[[#This Row],[Цена за 1 бр. в BGN]]*Table1[[#This Row],[Поръчано Количество]]</f>
        <v>0</v>
      </c>
      <c r="Q183" s="1"/>
      <c r="S183" t="str" cm="1">
        <f t="array" ref="S183">_xlfn.SWITCH(T183,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4" spans="1:19" ht="30">
      <c r="A184" t="s">
        <v>318</v>
      </c>
      <c r="B184">
        <v>20</v>
      </c>
      <c r="C184">
        <v>20</v>
      </c>
      <c r="D184" s="28">
        <v>45867</v>
      </c>
      <c r="E184" t="s">
        <v>34</v>
      </c>
      <c r="G184" s="30">
        <v>45866.495763888888</v>
      </c>
      <c r="H184" s="1" t="s">
        <v>22</v>
      </c>
      <c r="I184" t="s">
        <v>319</v>
      </c>
      <c r="J184" s="1" t="s">
        <v>320</v>
      </c>
      <c r="K184" s="31"/>
      <c r="M184" s="28"/>
      <c r="O184" s="24"/>
      <c r="P184" s="24">
        <f>Table1[[#This Row],[Цена за 1 бр. в BGN]]*Table1[[#This Row],[Поръчано Количество]]</f>
        <v>0</v>
      </c>
      <c r="Q184" s="1"/>
      <c r="S184" t="str" cm="1">
        <f t="array" ref="S184">_xlfn.SWITCH(T184,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5" spans="1:19">
      <c r="A185" t="s">
        <v>321</v>
      </c>
      <c r="B185">
        <v>20</v>
      </c>
      <c r="D185" s="28">
        <v>45876</v>
      </c>
      <c r="E185" t="s">
        <v>92</v>
      </c>
      <c r="G185" s="30">
        <v>45867.232442129629</v>
      </c>
      <c r="H185" s="1" t="s">
        <v>22</v>
      </c>
      <c r="I185" t="s">
        <v>322</v>
      </c>
      <c r="J185" s="1"/>
      <c r="K185" s="31"/>
      <c r="M185" s="28"/>
      <c r="O185" s="24"/>
      <c r="P185" s="24">
        <f>Table1[[#This Row],[Цена за 1 бр. в BGN]]*Table1[[#This Row],[Поръчано Количество]]</f>
        <v>0</v>
      </c>
      <c r="Q185" s="1"/>
      <c r="S185" t="str" cm="1">
        <f t="array" ref="S185">_xlfn.SWITCH(T185,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6" spans="1:19">
      <c r="A186" t="s">
        <v>323</v>
      </c>
      <c r="B186">
        <v>20</v>
      </c>
      <c r="D186" s="28">
        <v>45876</v>
      </c>
      <c r="E186" t="s">
        <v>63</v>
      </c>
      <c r="G186" s="30">
        <v>45867.233993055554</v>
      </c>
      <c r="H186" s="1" t="s">
        <v>22</v>
      </c>
      <c r="I186" t="s">
        <v>322</v>
      </c>
      <c r="J186" s="1"/>
      <c r="K186" s="31"/>
      <c r="M186" s="28"/>
      <c r="O186" s="24"/>
      <c r="P186" s="24">
        <f>Table1[[#This Row],[Цена за 1 бр. в BGN]]*Table1[[#This Row],[Поръчано Количество]]</f>
        <v>0</v>
      </c>
      <c r="Q186" s="1"/>
      <c r="S186" t="str" cm="1">
        <f t="array" ref="S186">_xlfn.SWITCH(T186,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7" spans="1:19">
      <c r="A187" t="s">
        <v>324</v>
      </c>
      <c r="B187">
        <v>1</v>
      </c>
      <c r="D187" s="28">
        <v>45869</v>
      </c>
      <c r="E187" t="s">
        <v>92</v>
      </c>
      <c r="G187" s="30">
        <v>45867.234270833331</v>
      </c>
      <c r="H187" s="1" t="s">
        <v>22</v>
      </c>
      <c r="J187" s="1"/>
      <c r="K187" s="31"/>
      <c r="M187" s="28"/>
      <c r="O187" s="24"/>
      <c r="P187" s="24">
        <f>Table1[[#This Row],[Цена за 1 бр. в BGN]]*Table1[[#This Row],[Поръчано Количество]]</f>
        <v>0</v>
      </c>
      <c r="Q187" s="1"/>
      <c r="S187" t="str" cm="1">
        <f t="array" ref="S187">_xlfn.SWITCH(T187,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8" spans="1:19" ht="45">
      <c r="A188" s="1" t="s">
        <v>325</v>
      </c>
      <c r="B188">
        <v>10</v>
      </c>
      <c r="C188">
        <v>10</v>
      </c>
      <c r="D188" s="28">
        <v>45876</v>
      </c>
      <c r="E188" t="s">
        <v>92</v>
      </c>
      <c r="G188" s="30">
        <v>45867.237546296295</v>
      </c>
      <c r="H188" s="1" t="s">
        <v>22</v>
      </c>
      <c r="I188">
        <v>1825783423</v>
      </c>
      <c r="J188" s="1" t="s">
        <v>104</v>
      </c>
      <c r="K188" s="31"/>
      <c r="M188" s="28">
        <v>45884</v>
      </c>
      <c r="O188" s="24">
        <v>6.44</v>
      </c>
      <c r="P188" s="24">
        <f>Table1[[#This Row],[Цена за 1 бр. в BGN]]*Table1[[#This Row],[Поръчано Количество]]</f>
        <v>64.400000000000006</v>
      </c>
      <c r="Q188" s="1">
        <v>1460234530</v>
      </c>
      <c r="S188" t="str" cm="1">
        <f t="array" ref="S188">_xlfn.SWITCH(T188,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9" spans="1:19">
      <c r="A189" t="s">
        <v>326</v>
      </c>
      <c r="B189">
        <v>10</v>
      </c>
      <c r="C189">
        <v>10</v>
      </c>
      <c r="D189" s="28">
        <v>45876</v>
      </c>
      <c r="E189" t="s">
        <v>92</v>
      </c>
      <c r="G189" s="30">
        <v>45867.237858796296</v>
      </c>
      <c r="H189" s="1" t="s">
        <v>22</v>
      </c>
      <c r="I189">
        <v>1825783423</v>
      </c>
      <c r="J189" s="1" t="s">
        <v>104</v>
      </c>
      <c r="K189" s="31"/>
      <c r="M189" s="28" t="s">
        <v>327</v>
      </c>
      <c r="O189" s="24">
        <v>5.56</v>
      </c>
      <c r="P189" s="24">
        <f>Table1[[#This Row],[Цена за 1 бр. в BGN]]*Table1[[#This Row],[Поръчано Количество]]</f>
        <v>55.599999999999994</v>
      </c>
      <c r="Q189" s="1">
        <v>1460234530</v>
      </c>
      <c r="S189" t="str" cm="1">
        <f t="array" ref="S189">_xlfn.SWITCH(T189,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0" spans="1:19">
      <c r="A190" t="s">
        <v>328</v>
      </c>
      <c r="B190">
        <v>10</v>
      </c>
      <c r="C190">
        <v>10</v>
      </c>
      <c r="D190" s="28">
        <v>45876</v>
      </c>
      <c r="E190" t="s">
        <v>92</v>
      </c>
      <c r="G190" s="30">
        <v>45867.238229166665</v>
      </c>
      <c r="H190" s="1" t="s">
        <v>22</v>
      </c>
      <c r="I190">
        <v>1825783423</v>
      </c>
      <c r="J190" s="1" t="s">
        <v>104</v>
      </c>
      <c r="K190" s="31"/>
      <c r="M190" s="28" t="s">
        <v>327</v>
      </c>
      <c r="O190" s="24">
        <v>5.03</v>
      </c>
      <c r="P190" s="24">
        <f>Table1[[#This Row],[Цена за 1 бр. в BGN]]*Table1[[#This Row],[Поръчано Количество]]</f>
        <v>50.300000000000004</v>
      </c>
      <c r="Q190" s="1">
        <v>1460234530</v>
      </c>
      <c r="S190" t="str" cm="1">
        <f t="array" ref="S190">_xlfn.SWITCH(T190,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1" spans="1:19" ht="45">
      <c r="A191" t="s">
        <v>329</v>
      </c>
      <c r="B191">
        <v>1</v>
      </c>
      <c r="C191">
        <v>1</v>
      </c>
      <c r="D191" s="28">
        <v>45870</v>
      </c>
      <c r="E191" t="s">
        <v>21</v>
      </c>
      <c r="F191">
        <v>155671</v>
      </c>
      <c r="G191" s="30">
        <v>45869.251689814817</v>
      </c>
      <c r="H191" s="1" t="s">
        <v>22</v>
      </c>
      <c r="I191" t="s">
        <v>330</v>
      </c>
      <c r="J191" s="1" t="s">
        <v>128</v>
      </c>
      <c r="K191" s="31"/>
      <c r="M191" s="28"/>
      <c r="O191" s="24">
        <f>1.95583*860</f>
        <v>1682.0137999999999</v>
      </c>
      <c r="P191" s="24">
        <f>Table1[[#This Row],[Цена за 1 бр. в BGN]]*Table1[[#This Row],[Поръчано Количество]]</f>
        <v>1682.0137999999999</v>
      </c>
      <c r="Q191" s="1"/>
      <c r="S191" t="str" cm="1">
        <f t="array" ref="S191">_xlfn.SWITCH(T191,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2" spans="1:19">
      <c r="A192" t="s">
        <v>331</v>
      </c>
      <c r="B192">
        <v>24</v>
      </c>
      <c r="C192">
        <v>24</v>
      </c>
      <c r="D192" s="28">
        <v>45901</v>
      </c>
      <c r="E192" t="s">
        <v>21</v>
      </c>
      <c r="G192" s="30">
        <v>45880.154363425929</v>
      </c>
      <c r="H192" s="1" t="s">
        <v>22</v>
      </c>
      <c r="I192" t="s">
        <v>332</v>
      </c>
      <c r="J192" s="1" t="s">
        <v>24</v>
      </c>
      <c r="K192" s="31"/>
      <c r="M192" s="28"/>
      <c r="O192" s="24"/>
      <c r="P192" s="24">
        <f>Table1[[#This Row],[Цена за 1 бр. в BGN]]*Table1[[#This Row],[Поръчано Количество]]</f>
        <v>0</v>
      </c>
      <c r="Q192" s="1"/>
      <c r="S192" t="str" cm="1">
        <f t="array" ref="S192">_xlfn.SWITCH(T192,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3" spans="1:19">
      <c r="A193" t="s">
        <v>333</v>
      </c>
      <c r="B193">
        <v>8</v>
      </c>
      <c r="C193">
        <v>8</v>
      </c>
      <c r="D193" s="28">
        <v>45901</v>
      </c>
      <c r="E193" t="s">
        <v>21</v>
      </c>
      <c r="G193" s="30">
        <v>45880.15483796296</v>
      </c>
      <c r="H193" s="1" t="s">
        <v>22</v>
      </c>
      <c r="I193" t="s">
        <v>334</v>
      </c>
      <c r="J193" s="1" t="s">
        <v>101</v>
      </c>
      <c r="K193" s="31"/>
      <c r="M193" s="28"/>
      <c r="O193" s="24">
        <v>3.99</v>
      </c>
      <c r="P193" s="24">
        <f>Table1[[#This Row],[Цена за 1 бр. в BGN]]*Table1[[#This Row],[Поръчано Количество]]</f>
        <v>31.92</v>
      </c>
      <c r="Q193" s="1"/>
      <c r="S193" t="str" cm="1">
        <f t="array" ref="S193">_xlfn.SWITCH(T193,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4" spans="1:19" ht="30">
      <c r="A194" t="s">
        <v>335</v>
      </c>
      <c r="B194">
        <v>3</v>
      </c>
      <c r="C194">
        <v>4</v>
      </c>
      <c r="D194" s="28">
        <v>45880</v>
      </c>
      <c r="E194" t="s">
        <v>21</v>
      </c>
      <c r="G194" s="30">
        <v>45880.20144675926</v>
      </c>
      <c r="H194" s="1" t="s">
        <v>22</v>
      </c>
      <c r="J194" s="1" t="s">
        <v>46</v>
      </c>
      <c r="K194" s="31">
        <v>45880</v>
      </c>
      <c r="M194" s="28">
        <v>45880</v>
      </c>
      <c r="N194">
        <v>4</v>
      </c>
      <c r="O194" s="24">
        <v>1.75</v>
      </c>
      <c r="P194" s="24">
        <f>Table1[[#This Row],[Цена за 1 бр. в BGN]]*Table1[[#This Row],[Поръчано Количество]]</f>
        <v>7</v>
      </c>
      <c r="Q194" s="1" t="s">
        <v>336</v>
      </c>
      <c r="S194" t="str" cm="1">
        <f t="array" ref="S194">_xlfn.SWITCH(T194,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5" spans="1:19">
      <c r="A195" t="s">
        <v>337</v>
      </c>
      <c r="B195">
        <v>4</v>
      </c>
      <c r="C195">
        <v>4</v>
      </c>
      <c r="D195" s="28">
        <v>45901</v>
      </c>
      <c r="E195" t="s">
        <v>21</v>
      </c>
      <c r="G195" s="30">
        <v>45881.322048611109</v>
      </c>
      <c r="H195" s="1" t="s">
        <v>22</v>
      </c>
      <c r="I195" t="s">
        <v>334</v>
      </c>
      <c r="J195" s="1" t="s">
        <v>101</v>
      </c>
      <c r="K195" s="31"/>
      <c r="M195" s="28"/>
      <c r="O195" s="24">
        <v>3.43</v>
      </c>
      <c r="P195" s="24">
        <f>Table1[[#This Row],[Цена за 1 бр. в BGN]]*Table1[[#This Row],[Поръчано Количество]]</f>
        <v>13.72</v>
      </c>
      <c r="Q195" s="1"/>
      <c r="S195" t="str" cm="1">
        <f t="array" ref="S195">_xlfn.SWITCH(T195,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6" spans="1:19">
      <c r="A196" t="s">
        <v>338</v>
      </c>
      <c r="B196">
        <v>4</v>
      </c>
      <c r="C196">
        <v>4</v>
      </c>
      <c r="D196" s="28">
        <v>45901</v>
      </c>
      <c r="E196" t="s">
        <v>21</v>
      </c>
      <c r="G196" s="30">
        <v>45881.322523148148</v>
      </c>
      <c r="H196" s="1" t="s">
        <v>22</v>
      </c>
      <c r="I196" t="s">
        <v>334</v>
      </c>
      <c r="J196" s="1" t="s">
        <v>101</v>
      </c>
      <c r="K196" s="31"/>
      <c r="M196" s="28"/>
      <c r="O196" s="24">
        <v>13.05</v>
      </c>
      <c r="P196" s="24">
        <f>Table1[[#This Row],[Цена за 1 бр. в BGN]]*Table1[[#This Row],[Поръчано Количество]]</f>
        <v>52.2</v>
      </c>
      <c r="Q196" s="1"/>
      <c r="S196" t="str" cm="1">
        <f t="array" ref="S196">_xlfn.SWITCH(T196,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7" spans="1:19">
      <c r="A197" t="s">
        <v>339</v>
      </c>
      <c r="B197">
        <v>3</v>
      </c>
      <c r="C197">
        <v>3</v>
      </c>
      <c r="D197" s="28">
        <v>45901</v>
      </c>
      <c r="E197" t="s">
        <v>21</v>
      </c>
      <c r="G197" s="30">
        <v>45881.323206018518</v>
      </c>
      <c r="H197" s="1" t="s">
        <v>22</v>
      </c>
      <c r="I197" t="s">
        <v>332</v>
      </c>
      <c r="J197" s="1" t="s">
        <v>24</v>
      </c>
      <c r="K197" s="31"/>
      <c r="M197" s="28">
        <v>45899</v>
      </c>
      <c r="N197">
        <v>3</v>
      </c>
      <c r="O197" s="24">
        <v>18.559999999999999</v>
      </c>
      <c r="P197" s="24">
        <f>Table1[[#This Row],[Цена за 1 бр. в BGN]]*Table1[[#This Row],[Поръчано Количество]]</f>
        <v>55.679999999999993</v>
      </c>
      <c r="Q197" s="1"/>
      <c r="S197" t="str" cm="1">
        <f t="array" ref="S197">_xlfn.SWITCH(T197,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8" spans="1:19">
      <c r="A198" t="s">
        <v>340</v>
      </c>
      <c r="B198">
        <v>6</v>
      </c>
      <c r="C198">
        <v>6</v>
      </c>
      <c r="D198" s="28">
        <v>45901</v>
      </c>
      <c r="E198" t="s">
        <v>21</v>
      </c>
      <c r="G198" s="30">
        <v>45881.323784722219</v>
      </c>
      <c r="H198" s="1" t="s">
        <v>22</v>
      </c>
      <c r="I198" t="s">
        <v>332</v>
      </c>
      <c r="J198" s="1" t="s">
        <v>24</v>
      </c>
      <c r="K198" s="31"/>
      <c r="M198" s="28">
        <v>45899</v>
      </c>
      <c r="N198">
        <v>6</v>
      </c>
      <c r="O198" s="24">
        <v>4.76</v>
      </c>
      <c r="P198" s="24">
        <f>Table1[[#This Row],[Цена за 1 бр. в BGN]]*Table1[[#This Row],[Поръчано Количество]]</f>
        <v>28.56</v>
      </c>
      <c r="Q198" s="1"/>
      <c r="S198" t="str" cm="1">
        <f t="array" ref="S198">_xlfn.SWITCH(T198,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9" spans="1:19">
      <c r="A199" t="s">
        <v>341</v>
      </c>
      <c r="B199">
        <v>7</v>
      </c>
      <c r="C199">
        <v>7</v>
      </c>
      <c r="D199" s="28">
        <v>45901</v>
      </c>
      <c r="E199" t="s">
        <v>21</v>
      </c>
      <c r="G199" s="30">
        <v>45881.342453703706</v>
      </c>
      <c r="H199" s="1" t="s">
        <v>22</v>
      </c>
      <c r="I199" t="s">
        <v>332</v>
      </c>
      <c r="J199" s="1" t="s">
        <v>24</v>
      </c>
      <c r="K199" s="31"/>
      <c r="M199" s="28">
        <v>45899</v>
      </c>
      <c r="N199">
        <v>7</v>
      </c>
      <c r="O199" s="24">
        <v>6.92</v>
      </c>
      <c r="P199" s="24">
        <f>Table1[[#This Row],[Цена за 1 бр. в BGN]]*Table1[[#This Row],[Поръчано Количество]]</f>
        <v>48.44</v>
      </c>
      <c r="Q199" s="1"/>
      <c r="S199" t="str" cm="1">
        <f t="array" ref="S199">_xlfn.SWITCH(T199,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0" spans="1:19">
      <c r="A200" t="s">
        <v>342</v>
      </c>
      <c r="B200">
        <v>3</v>
      </c>
      <c r="C200">
        <v>3</v>
      </c>
      <c r="D200" s="28">
        <v>45901</v>
      </c>
      <c r="E200" t="s">
        <v>21</v>
      </c>
      <c r="G200" s="30">
        <v>45881.342928240738</v>
      </c>
      <c r="H200" s="1" t="s">
        <v>22</v>
      </c>
      <c r="I200" t="s">
        <v>332</v>
      </c>
      <c r="J200" s="1" t="s">
        <v>24</v>
      </c>
      <c r="K200" s="31"/>
      <c r="M200" s="28">
        <v>45899</v>
      </c>
      <c r="N200">
        <v>3</v>
      </c>
      <c r="O200" s="24">
        <v>8.75</v>
      </c>
      <c r="P200" s="24">
        <f>Table1[[#This Row],[Цена за 1 бр. в BGN]]*Table1[[#This Row],[Поръчано Количество]]</f>
        <v>26.25</v>
      </c>
      <c r="Q200" s="1"/>
      <c r="S200" t="str" cm="1">
        <f t="array" ref="S200">_xlfn.SWITCH(T200,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1" spans="1:19">
      <c r="A201" t="s">
        <v>343</v>
      </c>
      <c r="B201">
        <v>4</v>
      </c>
      <c r="C201">
        <v>4</v>
      </c>
      <c r="D201" s="28">
        <v>45901</v>
      </c>
      <c r="E201" t="s">
        <v>21</v>
      </c>
      <c r="G201" s="30">
        <v>45881.343287037038</v>
      </c>
      <c r="H201" s="1" t="s">
        <v>22</v>
      </c>
      <c r="I201" t="s">
        <v>332</v>
      </c>
      <c r="J201" s="1" t="s">
        <v>24</v>
      </c>
      <c r="K201" s="31"/>
      <c r="M201" s="28">
        <v>45899</v>
      </c>
      <c r="N201">
        <v>4</v>
      </c>
      <c r="O201" s="24">
        <v>24.15</v>
      </c>
      <c r="P201" s="24">
        <f>Table1[[#This Row],[Цена за 1 бр. в BGN]]*Table1[[#This Row],[Поръчано Количество]]</f>
        <v>96.6</v>
      </c>
      <c r="Q201" s="1"/>
      <c r="S201" t="str" cm="1">
        <f t="array" ref="S201">_xlfn.SWITCH(T201,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2" spans="1:19" ht="30">
      <c r="A202" t="s">
        <v>344</v>
      </c>
      <c r="B202">
        <v>8</v>
      </c>
      <c r="D202" s="28">
        <v>45901</v>
      </c>
      <c r="E202" t="s">
        <v>21</v>
      </c>
      <c r="G202" s="30">
        <v>45881.344050925924</v>
      </c>
      <c r="H202" s="1" t="s">
        <v>42</v>
      </c>
      <c r="I202" t="s">
        <v>332</v>
      </c>
      <c r="J202" s="1" t="s">
        <v>24</v>
      </c>
      <c r="K202" s="31"/>
      <c r="M202" s="28"/>
      <c r="O202" s="24"/>
      <c r="P202" s="24">
        <f>Table1[[#This Row],[Цена за 1 бр. в BGN]]*Table1[[#This Row],[Поръчано Количество]]</f>
        <v>0</v>
      </c>
      <c r="Q202" s="1"/>
      <c r="S202" t="str" cm="1">
        <f t="array" ref="S202">_xlfn.SWITCH(T202,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3" spans="1:19">
      <c r="A203" t="s">
        <v>345</v>
      </c>
      <c r="B203">
        <v>10</v>
      </c>
      <c r="C203">
        <v>10</v>
      </c>
      <c r="D203" s="28">
        <v>45901</v>
      </c>
      <c r="E203" t="s">
        <v>21</v>
      </c>
      <c r="G203" s="30">
        <v>45881.34447916667</v>
      </c>
      <c r="H203" s="1" t="s">
        <v>22</v>
      </c>
      <c r="I203" t="s">
        <v>332</v>
      </c>
      <c r="J203" s="1" t="s">
        <v>24</v>
      </c>
      <c r="K203" s="31"/>
      <c r="M203" s="28">
        <v>45899</v>
      </c>
      <c r="N203">
        <v>10</v>
      </c>
      <c r="O203" s="24">
        <v>15.44</v>
      </c>
      <c r="P203" s="24">
        <f>Table1[[#This Row],[Цена за 1 бр. в BGN]]*Table1[[#This Row],[Поръчано Количество]]</f>
        <v>154.4</v>
      </c>
      <c r="Q203" s="1"/>
      <c r="S203" t="str" cm="1">
        <f t="array" ref="S203">_xlfn.SWITCH(T203,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4" spans="1:19">
      <c r="A204" t="s">
        <v>346</v>
      </c>
      <c r="B204">
        <v>2</v>
      </c>
      <c r="C204">
        <v>2</v>
      </c>
      <c r="D204" s="28">
        <v>45901</v>
      </c>
      <c r="E204" t="s">
        <v>21</v>
      </c>
      <c r="G204" s="30">
        <v>45881.344872685186</v>
      </c>
      <c r="H204" s="1" t="s">
        <v>22</v>
      </c>
      <c r="I204" t="s">
        <v>334</v>
      </c>
      <c r="J204" s="1" t="s">
        <v>101</v>
      </c>
      <c r="K204" s="31"/>
      <c r="M204" s="28"/>
      <c r="O204" s="24"/>
      <c r="P204" s="24">
        <f>Table1[[#This Row],[Цена за 1 бр. в BGN]]*Table1[[#This Row],[Поръчано Количество]]</f>
        <v>0</v>
      </c>
      <c r="Q204" s="1"/>
      <c r="S204" t="str" cm="1">
        <f t="array" ref="S204">_xlfn.SWITCH(T204,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5" spans="1:19">
      <c r="A205" t="s">
        <v>347</v>
      </c>
      <c r="B205">
        <v>10</v>
      </c>
      <c r="C205">
        <v>10</v>
      </c>
      <c r="D205" s="28">
        <v>45901</v>
      </c>
      <c r="E205" t="s">
        <v>21</v>
      </c>
      <c r="G205" s="30">
        <v>45881.345509259256</v>
      </c>
      <c r="H205" s="1" t="s">
        <v>22</v>
      </c>
      <c r="I205" t="s">
        <v>332</v>
      </c>
      <c r="J205" s="1" t="s">
        <v>24</v>
      </c>
      <c r="K205" s="31"/>
      <c r="M205" s="28"/>
      <c r="O205" s="24"/>
      <c r="P205" s="24">
        <f>Table1[[#This Row],[Цена за 1 бр. в BGN]]*Table1[[#This Row],[Поръчано Количество]]</f>
        <v>0</v>
      </c>
      <c r="Q205" s="1"/>
      <c r="S205" t="str" cm="1">
        <f t="array" ref="S205">_xlfn.SWITCH(T205,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6" spans="1:19">
      <c r="A206" t="s">
        <v>348</v>
      </c>
      <c r="B206">
        <v>10</v>
      </c>
      <c r="C206">
        <v>10</v>
      </c>
      <c r="D206" s="28">
        <v>45901</v>
      </c>
      <c r="E206" t="s">
        <v>21</v>
      </c>
      <c r="G206" s="30">
        <v>45881.345856481479</v>
      </c>
      <c r="H206" s="1" t="s">
        <v>22</v>
      </c>
      <c r="I206" t="s">
        <v>332</v>
      </c>
      <c r="J206" s="1" t="s">
        <v>24</v>
      </c>
      <c r="K206" s="31"/>
      <c r="M206" s="28"/>
      <c r="O206" s="24"/>
      <c r="P206" s="24">
        <f>Table1[[#This Row],[Цена за 1 бр. в BGN]]*Table1[[#This Row],[Поръчано Количество]]</f>
        <v>0</v>
      </c>
      <c r="Q206" s="1"/>
      <c r="S206" t="str" cm="1">
        <f t="array" ref="S206">_xlfn.SWITCH(T206,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7" spans="1:19">
      <c r="A207" t="s">
        <v>349</v>
      </c>
      <c r="B207">
        <v>8</v>
      </c>
      <c r="C207">
        <v>8</v>
      </c>
      <c r="D207" s="28">
        <v>45901</v>
      </c>
      <c r="E207" t="s">
        <v>21</v>
      </c>
      <c r="G207" s="30">
        <v>45881.346250000002</v>
      </c>
      <c r="H207" s="1" t="s">
        <v>22</v>
      </c>
      <c r="I207" t="s">
        <v>332</v>
      </c>
      <c r="J207" s="1" t="s">
        <v>24</v>
      </c>
      <c r="K207" s="31"/>
      <c r="M207" s="28"/>
      <c r="O207" s="24"/>
      <c r="P207" s="24">
        <f>Table1[[#This Row],[Цена за 1 бр. в BGN]]*Table1[[#This Row],[Поръчано Количество]]</f>
        <v>0</v>
      </c>
      <c r="Q207" s="1"/>
      <c r="S207" t="str" cm="1">
        <f t="array" ref="S207">_xlfn.SWITCH(T207,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8" spans="1:19">
      <c r="A208" t="s">
        <v>350</v>
      </c>
      <c r="B208">
        <v>10</v>
      </c>
      <c r="C208">
        <v>10</v>
      </c>
      <c r="D208" s="28">
        <v>45901</v>
      </c>
      <c r="E208" t="s">
        <v>21</v>
      </c>
      <c r="G208" s="30">
        <v>45881.346828703703</v>
      </c>
      <c r="H208" s="1" t="s">
        <v>22</v>
      </c>
      <c r="I208" t="s">
        <v>334</v>
      </c>
      <c r="J208" s="1" t="s">
        <v>101</v>
      </c>
      <c r="K208" s="31"/>
      <c r="M208" s="28"/>
      <c r="O208" s="24">
        <v>75</v>
      </c>
      <c r="P208" s="24">
        <f>Table1[[#This Row],[Цена за 1 бр. в BGN]]*Table1[[#This Row],[Поръчано Количество]]</f>
        <v>750</v>
      </c>
      <c r="Q208" s="1"/>
      <c r="S208" t="str" cm="1">
        <f t="array" ref="S208">_xlfn.SWITCH(T208,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9" spans="1:19">
      <c r="A209" t="s">
        <v>351</v>
      </c>
      <c r="B209">
        <v>1</v>
      </c>
      <c r="D209" s="28">
        <v>45901</v>
      </c>
      <c r="E209" t="s">
        <v>92</v>
      </c>
      <c r="G209" s="30">
        <v>45881.347361111111</v>
      </c>
      <c r="H209" s="1" t="s">
        <v>22</v>
      </c>
      <c r="J209" s="1"/>
      <c r="K209" s="31"/>
      <c r="M209" s="28"/>
      <c r="O209" s="24"/>
      <c r="P209" s="24">
        <f>Table1[[#This Row],[Цена за 1 бр. в BGN]]*Table1[[#This Row],[Поръчано Количество]]</f>
        <v>0</v>
      </c>
      <c r="Q209" s="1"/>
      <c r="S209" t="str" cm="1">
        <f t="array" ref="S209">_xlfn.SWITCH(T209,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0" spans="1:19">
      <c r="A210" t="s">
        <v>352</v>
      </c>
      <c r="B210">
        <v>1</v>
      </c>
      <c r="D210" s="28">
        <v>45901</v>
      </c>
      <c r="E210" t="s">
        <v>92</v>
      </c>
      <c r="G210" s="30">
        <v>45881.347627314812</v>
      </c>
      <c r="H210" s="1" t="s">
        <v>22</v>
      </c>
      <c r="J210" s="1"/>
      <c r="K210" s="31"/>
      <c r="M210" s="28"/>
      <c r="O210" s="24"/>
      <c r="P210" s="24">
        <f>Table1[[#This Row],[Цена за 1 бр. в BGN]]*Table1[[#This Row],[Поръчано Количество]]</f>
        <v>0</v>
      </c>
      <c r="Q210" s="1"/>
      <c r="S210" t="str" cm="1">
        <f t="array" ref="S210">_xlfn.SWITCH(T210,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1" spans="1:19" ht="30">
      <c r="A211" t="s">
        <v>353</v>
      </c>
      <c r="B211">
        <v>4</v>
      </c>
      <c r="D211" s="28">
        <v>45901</v>
      </c>
      <c r="E211" t="s">
        <v>21</v>
      </c>
      <c r="G211" s="30">
        <v>45881.348321759258</v>
      </c>
      <c r="H211" s="1"/>
      <c r="J211" s="1" t="s">
        <v>46</v>
      </c>
      <c r="K211" s="31"/>
      <c r="M211" s="28"/>
      <c r="O211" s="24"/>
      <c r="P211" s="24">
        <f>Table1[[#This Row],[Цена за 1 бр. в BGN]]*Table1[[#This Row],[Поръчано Количество]]</f>
        <v>0</v>
      </c>
      <c r="Q211" s="1"/>
      <c r="S211" t="str" cm="1">
        <f t="array" ref="S211">_xlfn.SWITCH(T211,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2" spans="1:19">
      <c r="A212" t="s">
        <v>354</v>
      </c>
      <c r="B212">
        <v>4</v>
      </c>
      <c r="C212">
        <v>4</v>
      </c>
      <c r="D212" s="28">
        <v>45901</v>
      </c>
      <c r="E212" t="s">
        <v>21</v>
      </c>
      <c r="G212" s="30">
        <v>45881.348680555559</v>
      </c>
      <c r="H212" s="1" t="s">
        <v>22</v>
      </c>
      <c r="I212" t="s">
        <v>332</v>
      </c>
      <c r="J212" s="1" t="s">
        <v>24</v>
      </c>
      <c r="K212" s="31"/>
      <c r="M212" s="28">
        <v>45899</v>
      </c>
      <c r="N212">
        <v>4</v>
      </c>
      <c r="O212" s="24">
        <v>3.55</v>
      </c>
      <c r="P212" s="24">
        <f>Table1[[#This Row],[Цена за 1 бр. в BGN]]*Table1[[#This Row],[Поръчано Количество]]</f>
        <v>14.2</v>
      </c>
      <c r="Q212" s="1"/>
      <c r="S212" t="str" cm="1">
        <f t="array" ref="S212">_xlfn.SWITCH(T212,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3" spans="1:19">
      <c r="A213" t="s">
        <v>355</v>
      </c>
      <c r="B213">
        <v>4</v>
      </c>
      <c r="C213">
        <v>4</v>
      </c>
      <c r="D213" s="28">
        <v>45901</v>
      </c>
      <c r="E213" t="s">
        <v>21</v>
      </c>
      <c r="G213" s="30">
        <v>45881.349502314813</v>
      </c>
      <c r="H213" s="1" t="s">
        <v>22</v>
      </c>
      <c r="I213" t="s">
        <v>332</v>
      </c>
      <c r="J213" s="1" t="s">
        <v>24</v>
      </c>
      <c r="K213" s="31"/>
      <c r="M213" s="28">
        <v>45899</v>
      </c>
      <c r="N213">
        <v>4</v>
      </c>
      <c r="O213" s="24">
        <v>8.2799999999999994</v>
      </c>
      <c r="P213" s="24">
        <f>Table1[[#This Row],[Цена за 1 бр. в BGN]]*Table1[[#This Row],[Поръчано Количество]]</f>
        <v>33.119999999999997</v>
      </c>
      <c r="Q213" s="1"/>
      <c r="S213" t="str" cm="1">
        <f t="array" ref="S213">_xlfn.SWITCH(T213,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4" spans="1:19" ht="30">
      <c r="A214" t="s">
        <v>356</v>
      </c>
      <c r="B214">
        <v>4</v>
      </c>
      <c r="C214">
        <v>4</v>
      </c>
      <c r="D214" s="28">
        <v>45901</v>
      </c>
      <c r="E214" t="s">
        <v>92</v>
      </c>
      <c r="G214" s="30">
        <v>45881.350266203706</v>
      </c>
      <c r="H214" s="1" t="s">
        <v>22</v>
      </c>
      <c r="J214" s="1" t="s">
        <v>64</v>
      </c>
      <c r="K214" s="31"/>
      <c r="M214" s="28">
        <v>45917</v>
      </c>
      <c r="N214">
        <v>4</v>
      </c>
      <c r="O214" s="24">
        <v>5.7870999999999997</v>
      </c>
      <c r="P214" s="24">
        <f>Table1[[#This Row],[Цена за 1 бр. в BGN]]*Table1[[#This Row],[Поръчано Количество]]</f>
        <v>23.148399999999999</v>
      </c>
      <c r="Q214" s="1" t="s">
        <v>65</v>
      </c>
      <c r="S214" t="str" cm="1">
        <f t="array" ref="S214">_xlfn.SWITCH(T214,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5" spans="1:19">
      <c r="A215" t="s">
        <v>357</v>
      </c>
      <c r="B215">
        <v>6</v>
      </c>
      <c r="C215">
        <v>6</v>
      </c>
      <c r="D215" s="28">
        <v>45884</v>
      </c>
      <c r="E215" t="s">
        <v>87</v>
      </c>
      <c r="G215" s="30">
        <v>45882.227175925924</v>
      </c>
      <c r="H215" s="1" t="s">
        <v>22</v>
      </c>
      <c r="J215" s="1"/>
      <c r="K215" s="31"/>
      <c r="M215" s="28"/>
      <c r="O215" s="24"/>
      <c r="P215" s="24">
        <f>Table1[[#This Row],[Цена за 1 бр. в BGN]]*Table1[[#This Row],[Поръчано Количество]]</f>
        <v>0</v>
      </c>
      <c r="Q215" s="1"/>
      <c r="S215" t="str" cm="1">
        <f t="array" ref="S215">_xlfn.SWITCH(T215,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6" spans="1:19">
      <c r="A216" t="s">
        <v>358</v>
      </c>
      <c r="B216">
        <v>2</v>
      </c>
      <c r="C216">
        <v>2</v>
      </c>
      <c r="D216" s="28">
        <v>45884</v>
      </c>
      <c r="E216" t="s">
        <v>87</v>
      </c>
      <c r="G216" s="30">
        <v>45882.227384259262</v>
      </c>
      <c r="H216" s="1" t="s">
        <v>22</v>
      </c>
      <c r="J216" s="1"/>
      <c r="K216" s="31"/>
      <c r="M216" s="28"/>
      <c r="O216" s="24"/>
      <c r="P216" s="24">
        <f>Table1[[#This Row],[Цена за 1 бр. в BGN]]*Table1[[#This Row],[Поръчано Количество]]</f>
        <v>0</v>
      </c>
      <c r="Q216" s="1"/>
      <c r="S216" t="str" cm="1">
        <f t="array" ref="S216">_xlfn.SWITCH(T216,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7" spans="1:19">
      <c r="A217" t="s">
        <v>359</v>
      </c>
      <c r="B217">
        <v>2</v>
      </c>
      <c r="C217">
        <v>2</v>
      </c>
      <c r="D217" s="28">
        <v>45884</v>
      </c>
      <c r="E217" t="s">
        <v>87</v>
      </c>
      <c r="G217" s="30">
        <v>45882.227592592593</v>
      </c>
      <c r="H217" s="1" t="s">
        <v>22</v>
      </c>
      <c r="J217" s="1"/>
      <c r="K217" s="31"/>
      <c r="M217" s="28"/>
      <c r="O217" s="24"/>
      <c r="P217" s="24">
        <f>Table1[[#This Row],[Цена за 1 бр. в BGN]]*Table1[[#This Row],[Поръчано Количество]]</f>
        <v>0</v>
      </c>
      <c r="Q217" s="1"/>
      <c r="S217" t="str" cm="1">
        <f t="array" ref="S217">_xlfn.SWITCH(T217,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8" spans="1:19">
      <c r="A218" t="s">
        <v>360</v>
      </c>
      <c r="B218">
        <v>1</v>
      </c>
      <c r="D218" s="28">
        <v>45910</v>
      </c>
      <c r="E218" t="s">
        <v>21</v>
      </c>
      <c r="G218" s="30">
        <v>45895.197708333333</v>
      </c>
      <c r="H218" s="1"/>
      <c r="J218" s="1" t="s">
        <v>31</v>
      </c>
      <c r="K218" s="31"/>
      <c r="M218" s="28"/>
      <c r="O218" s="24"/>
      <c r="P218" s="24">
        <f>Table1[[#This Row],[Цена за 1 бр. в BGN]]*Table1[[#This Row],[Поръчано Количество]]</f>
        <v>0</v>
      </c>
      <c r="Q218" s="1"/>
      <c r="S218" t="str" cm="1">
        <f t="array" ref="S218">_xlfn.SWITCH(T218,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9" spans="1:19" ht="15.75">
      <c r="A219" t="s">
        <v>361</v>
      </c>
      <c r="B219">
        <v>2</v>
      </c>
      <c r="C219">
        <v>2</v>
      </c>
      <c r="D219" s="28">
        <v>45902</v>
      </c>
      <c r="E219" t="s">
        <v>92</v>
      </c>
      <c r="G219" s="30">
        <v>45901.23978009259</v>
      </c>
      <c r="H219" s="1" t="s">
        <v>22</v>
      </c>
      <c r="I219" s="61">
        <v>187101</v>
      </c>
      <c r="J219" s="1" t="s">
        <v>58</v>
      </c>
      <c r="K219" s="31">
        <v>45903</v>
      </c>
      <c r="M219" s="28">
        <v>45903</v>
      </c>
      <c r="O219" s="24"/>
      <c r="P219" s="24">
        <f>Table1[[#This Row],[Цена за 1 бр. в BGN]]*Table1[[#This Row],[Поръчано Количество]]</f>
        <v>0</v>
      </c>
      <c r="Q219" s="1"/>
      <c r="S219" t="str" cm="1">
        <f t="array" ref="S219">_xlfn.SWITCH(T219,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0" spans="1:19" ht="15.75">
      <c r="A220" t="s">
        <v>362</v>
      </c>
      <c r="B220">
        <v>8</v>
      </c>
      <c r="C220">
        <v>8</v>
      </c>
      <c r="D220" s="28">
        <v>45905</v>
      </c>
      <c r="E220" t="s">
        <v>34</v>
      </c>
      <c r="G220" s="30">
        <v>45904.228402777779</v>
      </c>
      <c r="H220" s="1" t="s">
        <v>22</v>
      </c>
      <c r="I220" s="61" t="s">
        <v>43</v>
      </c>
      <c r="J220" s="1" t="s">
        <v>24</v>
      </c>
      <c r="K220" s="31"/>
      <c r="M220" s="28"/>
      <c r="O220" s="24"/>
      <c r="P220" s="24">
        <f>Table1[[#This Row],[Цена за 1 бр. в BGN]]*Table1[[#This Row],[Поръчано Количество]]</f>
        <v>0</v>
      </c>
      <c r="Q220" s="1"/>
      <c r="S220" t="str" cm="1">
        <f t="array" ref="S220">_xlfn.SWITCH(T220,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1" spans="1:19" ht="15.75">
      <c r="A221" t="s">
        <v>363</v>
      </c>
      <c r="B221">
        <v>8</v>
      </c>
      <c r="C221">
        <v>8</v>
      </c>
      <c r="D221" s="28">
        <v>45905</v>
      </c>
      <c r="E221" t="s">
        <v>34</v>
      </c>
      <c r="G221" s="30">
        <v>45904.229537037034</v>
      </c>
      <c r="H221" s="1" t="s">
        <v>22</v>
      </c>
      <c r="I221" s="61" t="s">
        <v>43</v>
      </c>
      <c r="J221" s="1" t="s">
        <v>24</v>
      </c>
      <c r="K221" s="31"/>
      <c r="M221" s="28"/>
      <c r="O221" s="24"/>
      <c r="P221" s="24">
        <f>Table1[[#This Row],[Цена за 1 бр. в BGN]]*Table1[[#This Row],[Поръчано Количество]]</f>
        <v>0</v>
      </c>
      <c r="Q221" s="1"/>
      <c r="S221" t="str" cm="1">
        <f t="array" ref="S221">_xlfn.SWITCH(T221,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2" spans="1:19" ht="15.75">
      <c r="A222" t="s">
        <v>364</v>
      </c>
      <c r="B222">
        <v>8</v>
      </c>
      <c r="C222">
        <v>8</v>
      </c>
      <c r="D222" s="28">
        <v>45905</v>
      </c>
      <c r="E222" t="s">
        <v>34</v>
      </c>
      <c r="G222" s="30">
        <v>45904.233564814815</v>
      </c>
      <c r="H222" s="1" t="s">
        <v>22</v>
      </c>
      <c r="I222" s="61" t="s">
        <v>43</v>
      </c>
      <c r="J222" s="1" t="s">
        <v>24</v>
      </c>
      <c r="K222" s="31"/>
      <c r="M222" s="28"/>
      <c r="O222" s="24"/>
      <c r="P222" s="24">
        <f>Table1[[#This Row],[Цена за 1 бр. в BGN]]*Table1[[#This Row],[Поръчано Количество]]</f>
        <v>0</v>
      </c>
      <c r="Q222" s="1"/>
      <c r="S222" t="str" cm="1">
        <f t="array" ref="S222">_xlfn.SWITCH(T222,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3" spans="1:19" ht="15.75">
      <c r="A223" t="s">
        <v>365</v>
      </c>
      <c r="B223">
        <v>8</v>
      </c>
      <c r="C223">
        <v>8</v>
      </c>
      <c r="D223" s="28">
        <v>45905</v>
      </c>
      <c r="E223" t="s">
        <v>34</v>
      </c>
      <c r="G223" s="30">
        <v>45904.234178240738</v>
      </c>
      <c r="H223" s="1" t="s">
        <v>22</v>
      </c>
      <c r="I223" s="61" t="s">
        <v>43</v>
      </c>
      <c r="J223" s="1" t="s">
        <v>24</v>
      </c>
      <c r="K223" s="31"/>
      <c r="M223" s="28"/>
      <c r="O223" s="24"/>
      <c r="P223" s="24">
        <f>Table1[[#This Row],[Цена за 1 бр. в BGN]]*Table1[[#This Row],[Поръчано Количество]]</f>
        <v>0</v>
      </c>
      <c r="Q223" s="1"/>
      <c r="S223" t="str" cm="1">
        <f t="array" ref="S223">_xlfn.SWITCH(T223,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4" spans="1:19" ht="15.75">
      <c r="A224" t="s">
        <v>366</v>
      </c>
      <c r="B224">
        <v>2</v>
      </c>
      <c r="D224" s="28">
        <v>45917</v>
      </c>
      <c r="E224" t="s">
        <v>21</v>
      </c>
      <c r="G224" s="30">
        <v>45906.445740740739</v>
      </c>
      <c r="H224" s="1"/>
      <c r="I224" s="61"/>
      <c r="J224" s="1"/>
      <c r="K224" s="31"/>
      <c r="M224" s="28"/>
      <c r="O224" s="24"/>
      <c r="P224" s="24">
        <f>Table1[[#This Row],[Цена за 1 бр. в BGN]]*Table1[[#This Row],[Поръчано Количество]]</f>
        <v>0</v>
      </c>
      <c r="Q224" s="1"/>
      <c r="S224" t="str" cm="1">
        <f t="array" ref="S224">_xlfn.SWITCH(T224,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5" spans="1:19" ht="30">
      <c r="A225" t="s">
        <v>356</v>
      </c>
      <c r="B225">
        <v>6</v>
      </c>
      <c r="C225">
        <v>2</v>
      </c>
      <c r="D225" s="28">
        <v>45918</v>
      </c>
      <c r="E225" t="s">
        <v>21</v>
      </c>
      <c r="G225" s="30">
        <v>45909.177418981482</v>
      </c>
      <c r="H225" s="1" t="s">
        <v>22</v>
      </c>
      <c r="I225" s="61"/>
      <c r="J225" s="1"/>
      <c r="K225" s="31"/>
      <c r="M225" s="28">
        <v>45917</v>
      </c>
      <c r="N225">
        <v>2</v>
      </c>
      <c r="O225" s="24">
        <v>5.7870999999999997</v>
      </c>
      <c r="P225" s="24">
        <f>Table1[[#This Row],[Цена за 1 бр. в BGN]]*Table1[[#This Row],[Поръчано Количество]]</f>
        <v>11.574199999999999</v>
      </c>
      <c r="Q225" s="1" t="s">
        <v>65</v>
      </c>
      <c r="S225" t="str" cm="1">
        <f t="array" ref="S225">_xlfn.SWITCH(T225,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6" spans="1:19" ht="15.75">
      <c r="A226" t="s">
        <v>367</v>
      </c>
      <c r="B226">
        <v>1</v>
      </c>
      <c r="D226" s="28">
        <v>45920</v>
      </c>
      <c r="E226" t="s">
        <v>34</v>
      </c>
      <c r="G226" s="30">
        <v>45909.236631944441</v>
      </c>
      <c r="H226" s="1" t="s">
        <v>22</v>
      </c>
      <c r="I226" s="61" t="s">
        <v>368</v>
      </c>
      <c r="J226" s="1"/>
      <c r="K226" s="31"/>
      <c r="M226" s="28"/>
      <c r="O226" s="24"/>
      <c r="P226" s="24">
        <f>Table1[[#This Row],[Цена за 1 бр. в BGN]]*Table1[[#This Row],[Поръчано Количество]]</f>
        <v>0</v>
      </c>
      <c r="Q226" s="1"/>
      <c r="S226" t="str" cm="1">
        <f t="array" ref="S226">_xlfn.SWITCH(T226,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7" spans="1:19">
      <c r="A227" t="s">
        <v>369</v>
      </c>
      <c r="B227">
        <v>6</v>
      </c>
      <c r="D227" s="28">
        <v>45918</v>
      </c>
      <c r="E227" t="s">
        <v>21</v>
      </c>
      <c r="G227" s="30">
        <v>45910.193564814814</v>
      </c>
      <c r="H227" s="1" t="s">
        <v>22</v>
      </c>
      <c r="I227" t="s">
        <v>72</v>
      </c>
      <c r="J227" s="1" t="s">
        <v>73</v>
      </c>
      <c r="K227" s="31">
        <v>45938</v>
      </c>
      <c r="M227" s="28"/>
      <c r="O227" s="24"/>
      <c r="P227" s="24">
        <f>Table1[[#This Row],[Цена за 1 бр. в BGN]]*Table1[[#This Row],[Поръчано Количество]]</f>
        <v>0</v>
      </c>
      <c r="Q227" s="1"/>
      <c r="S227" t="str" cm="1">
        <f t="array" ref="S227">_xlfn.SWITCH(T227,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8" spans="1:19">
      <c r="A228" t="s">
        <v>370</v>
      </c>
      <c r="B228">
        <v>6</v>
      </c>
      <c r="D228" s="28">
        <v>45918</v>
      </c>
      <c r="E228" t="s">
        <v>21</v>
      </c>
      <c r="G228" s="30">
        <v>45910.19431712963</v>
      </c>
      <c r="H228" s="1" t="s">
        <v>22</v>
      </c>
      <c r="I228" t="s">
        <v>72</v>
      </c>
      <c r="J228" s="1" t="s">
        <v>73</v>
      </c>
      <c r="K228" s="31">
        <v>45938</v>
      </c>
      <c r="M228" s="28"/>
      <c r="O228" s="24"/>
      <c r="P228" s="24">
        <f>Table1[[#This Row],[Цена за 1 бр. в BGN]]*Table1[[#This Row],[Поръчано Количество]]</f>
        <v>0</v>
      </c>
      <c r="Q228" s="1"/>
      <c r="S228" t="str" cm="1">
        <f t="array" ref="S228">_xlfn.SWITCH(T228,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9" spans="1:19">
      <c r="A229" t="s">
        <v>371</v>
      </c>
      <c r="B229">
        <v>5</v>
      </c>
      <c r="D229" s="28">
        <v>45924</v>
      </c>
      <c r="E229" t="s">
        <v>21</v>
      </c>
      <c r="G229" s="30">
        <v>45910.1953125</v>
      </c>
      <c r="H229" s="1" t="s">
        <v>22</v>
      </c>
      <c r="I229" t="s">
        <v>72</v>
      </c>
      <c r="J229" s="1" t="s">
        <v>73</v>
      </c>
      <c r="K229" s="31">
        <v>45938</v>
      </c>
      <c r="M229" s="28"/>
      <c r="O229" s="24"/>
      <c r="P229" s="24">
        <f>Table1[[#This Row],[Цена за 1 бр. в BGN]]*Table1[[#This Row],[Поръчано Количество]]</f>
        <v>0</v>
      </c>
      <c r="Q229" s="1"/>
      <c r="S229" t="str" cm="1">
        <f t="array" ref="S229">_xlfn.SWITCH(T229,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0" spans="1:19">
      <c r="A230" t="s">
        <v>372</v>
      </c>
      <c r="B230">
        <v>6</v>
      </c>
      <c r="D230" s="28">
        <v>45924</v>
      </c>
      <c r="E230" t="s">
        <v>21</v>
      </c>
      <c r="G230" s="30">
        <v>45910.24009259259</v>
      </c>
      <c r="H230" s="1" t="s">
        <v>22</v>
      </c>
      <c r="I230" t="s">
        <v>72</v>
      </c>
      <c r="J230" s="1" t="s">
        <v>73</v>
      </c>
      <c r="K230" s="31">
        <v>45938</v>
      </c>
      <c r="M230" s="28"/>
      <c r="O230" s="24"/>
      <c r="P230" s="24">
        <f>Table1[[#This Row],[Цена за 1 бр. в BGN]]*Table1[[#This Row],[Поръчано Количество]]</f>
        <v>0</v>
      </c>
      <c r="Q230" s="1"/>
      <c r="S230" t="str" cm="1">
        <f t="array" ref="S230">_xlfn.SWITCH(T230,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1" spans="1:19">
      <c r="A231" t="s">
        <v>373</v>
      </c>
      <c r="B231">
        <v>10</v>
      </c>
      <c r="D231" s="28">
        <v>45924</v>
      </c>
      <c r="E231" t="s">
        <v>92</v>
      </c>
      <c r="G231" s="30">
        <v>45910.240682870368</v>
      </c>
      <c r="H231" s="1" t="s">
        <v>22</v>
      </c>
      <c r="I231" t="s">
        <v>72</v>
      </c>
      <c r="J231" s="1" t="s">
        <v>73</v>
      </c>
      <c r="K231" s="31">
        <v>45938</v>
      </c>
      <c r="M231" s="28"/>
      <c r="O231" s="24"/>
      <c r="P231" s="24">
        <f>Table1[[#This Row],[Цена за 1 бр. в BGN]]*Table1[[#This Row],[Поръчано Количество]]</f>
        <v>0</v>
      </c>
      <c r="Q231" s="1"/>
      <c r="S231" t="str" cm="1">
        <f t="array" ref="S231">_xlfn.SWITCH(T231,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2" spans="1:19">
      <c r="A232" t="s">
        <v>374</v>
      </c>
      <c r="B232">
        <v>8</v>
      </c>
      <c r="D232" s="28">
        <v>45924</v>
      </c>
      <c r="E232" t="s">
        <v>21</v>
      </c>
      <c r="G232" s="30">
        <v>45910.24119212963</v>
      </c>
      <c r="H232" s="1" t="s">
        <v>22</v>
      </c>
      <c r="I232" t="s">
        <v>72</v>
      </c>
      <c r="J232" s="1" t="s">
        <v>73</v>
      </c>
      <c r="K232" s="31">
        <v>45938</v>
      </c>
      <c r="M232" s="28"/>
      <c r="O232" s="24"/>
      <c r="P232" s="24">
        <f>Table1[[#This Row],[Цена за 1 бр. в BGN]]*Table1[[#This Row],[Поръчано Количество]]</f>
        <v>0</v>
      </c>
      <c r="Q232" s="1"/>
      <c r="S232" t="str" cm="1">
        <f t="array" ref="S232">_xlfn.SWITCH(T232,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3" spans="1:19">
      <c r="A233" t="s">
        <v>375</v>
      </c>
      <c r="B233">
        <v>6</v>
      </c>
      <c r="D233" s="28">
        <v>45931</v>
      </c>
      <c r="E233" t="s">
        <v>21</v>
      </c>
      <c r="G233" s="30">
        <v>45910.242094907408</v>
      </c>
      <c r="H233" s="1" t="s">
        <v>22</v>
      </c>
      <c r="I233" t="s">
        <v>72</v>
      </c>
      <c r="J233" s="1" t="s">
        <v>73</v>
      </c>
      <c r="K233" s="31">
        <v>45938</v>
      </c>
      <c r="M233" s="28"/>
      <c r="O233" s="24"/>
      <c r="P233" s="24">
        <f>Table1[[#This Row],[Цена за 1 бр. в BGN]]*Table1[[#This Row],[Поръчано Количество]]</f>
        <v>0</v>
      </c>
      <c r="Q233" s="1"/>
      <c r="S233" t="str" cm="1">
        <f t="array" ref="S233">_xlfn.SWITCH(T233,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4" spans="1:19">
      <c r="A234" t="s">
        <v>376</v>
      </c>
      <c r="B234">
        <v>8</v>
      </c>
      <c r="D234" s="28">
        <v>45931</v>
      </c>
      <c r="E234" t="s">
        <v>21</v>
      </c>
      <c r="G234" s="30">
        <v>45910.242418981485</v>
      </c>
      <c r="H234" s="1" t="s">
        <v>22</v>
      </c>
      <c r="I234" t="s">
        <v>72</v>
      </c>
      <c r="J234" s="1" t="s">
        <v>73</v>
      </c>
      <c r="K234" s="31">
        <v>45938</v>
      </c>
      <c r="M234" s="28"/>
      <c r="O234" s="24"/>
      <c r="P234" s="24">
        <f>Table1[[#This Row],[Цена за 1 бр. в BGN]]*Table1[[#This Row],[Поръчано Количество]]</f>
        <v>0</v>
      </c>
      <c r="Q234" s="1"/>
      <c r="S234" t="str" cm="1">
        <f t="array" ref="S234">_xlfn.SWITCH(T234,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5" spans="1:19" ht="30">
      <c r="A235" t="s">
        <v>377</v>
      </c>
      <c r="B235">
        <v>2</v>
      </c>
      <c r="C235">
        <v>2</v>
      </c>
      <c r="D235" s="28">
        <v>45918</v>
      </c>
      <c r="E235" t="s">
        <v>92</v>
      </c>
      <c r="G235" s="30">
        <v>45915.185428240744</v>
      </c>
      <c r="H235" s="1" t="s">
        <v>42</v>
      </c>
      <c r="I235" s="61" t="s">
        <v>378</v>
      </c>
      <c r="J235" s="1" t="s">
        <v>216</v>
      </c>
      <c r="K235" s="31"/>
      <c r="M235" s="28"/>
      <c r="O235" s="24"/>
      <c r="P235" s="24">
        <f>Table1[[#This Row],[Цена за 1 бр. в BGN]]*Table1[[#This Row],[Поръчано Количество]]</f>
        <v>0</v>
      </c>
      <c r="Q235" s="1"/>
      <c r="S235" t="str" cm="1">
        <f t="array" ref="S235">_xlfn.SWITCH(T235,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6" spans="1:19" ht="30">
      <c r="A236" t="s">
        <v>379</v>
      </c>
      <c r="B236">
        <v>2</v>
      </c>
      <c r="C236">
        <v>2</v>
      </c>
      <c r="D236" s="28">
        <v>45918</v>
      </c>
      <c r="E236" t="s">
        <v>92</v>
      </c>
      <c r="G236" s="30">
        <v>45915.186180555553</v>
      </c>
      <c r="H236" s="1" t="s">
        <v>42</v>
      </c>
      <c r="I236" s="61" t="s">
        <v>378</v>
      </c>
      <c r="J236" s="1" t="s">
        <v>216</v>
      </c>
      <c r="K236" s="31"/>
      <c r="M236" s="28"/>
      <c r="O236" s="24"/>
      <c r="P236" s="24">
        <f>Table1[[#This Row],[Цена за 1 бр. в BGN]]*Table1[[#This Row],[Поръчано Количество]]</f>
        <v>0</v>
      </c>
      <c r="Q236" s="1"/>
      <c r="S236" t="str" cm="1">
        <f t="array" ref="S236">_xlfn.SWITCH(T236,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7" spans="1:19" ht="15.75">
      <c r="A237" t="s">
        <v>380</v>
      </c>
      <c r="B237">
        <v>1</v>
      </c>
      <c r="C237">
        <v>1</v>
      </c>
      <c r="D237" s="28">
        <v>45933</v>
      </c>
      <c r="E237" t="s">
        <v>34</v>
      </c>
      <c r="G237" s="30">
        <v>45923.313703703701</v>
      </c>
      <c r="H237" s="1" t="s">
        <v>22</v>
      </c>
      <c r="I237" s="61" t="s">
        <v>381</v>
      </c>
      <c r="J237" s="1" t="s">
        <v>382</v>
      </c>
      <c r="K237" s="31"/>
      <c r="M237" s="28"/>
      <c r="O237" s="24"/>
      <c r="P237" s="24">
        <f>Table1[[#This Row],[Цена за 1 бр. в BGN]]*Table1[[#This Row],[Поръчано Количество]]</f>
        <v>0</v>
      </c>
      <c r="Q237" s="1"/>
      <c r="S237" t="str" cm="1">
        <f t="array" ref="S237">_xlfn.SWITCH(T237,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8" spans="1:19" ht="15.75">
      <c r="A238" t="s">
        <v>383</v>
      </c>
      <c r="B238">
        <v>4</v>
      </c>
      <c r="C238">
        <v>4</v>
      </c>
      <c r="D238" s="28">
        <v>45930</v>
      </c>
      <c r="E238" t="s">
        <v>21</v>
      </c>
      <c r="G238" s="30">
        <v>45930.265972222223</v>
      </c>
      <c r="H238" t="s">
        <v>22</v>
      </c>
      <c r="I238" s="61" t="s">
        <v>384</v>
      </c>
      <c r="J238" t="s">
        <v>101</v>
      </c>
      <c r="K238" s="28"/>
      <c r="M238" s="28"/>
      <c r="O238" s="24"/>
      <c r="P238" s="24">
        <f>Table1[[#This Row],[Цена за 1 бр. в BGN]]*Table1[[#This Row],[Поръчано Количество]]</f>
        <v>0</v>
      </c>
      <c r="S238" t="str" cm="1">
        <f t="array" ref="S238">_xlfn.SWITCH(T238,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9" spans="1:19" ht="15.75">
      <c r="A239" t="s">
        <v>385</v>
      </c>
      <c r="B239">
        <v>4</v>
      </c>
      <c r="C239">
        <v>4</v>
      </c>
      <c r="D239" s="28">
        <v>45930</v>
      </c>
      <c r="E239" t="s">
        <v>21</v>
      </c>
      <c r="G239" s="30">
        <v>45930.265972222223</v>
      </c>
      <c r="H239" t="s">
        <v>22</v>
      </c>
      <c r="I239" s="61" t="s">
        <v>384</v>
      </c>
      <c r="J239" t="s">
        <v>101</v>
      </c>
      <c r="K239" s="28"/>
      <c r="M239" s="28"/>
      <c r="O239" s="24"/>
      <c r="P239" s="24">
        <f>Table1[[#This Row],[Цена за 1 бр. в BGN]]*Table1[[#This Row],[Поръчано Количество]]</f>
        <v>0</v>
      </c>
      <c r="S239" t="str" cm="1">
        <f t="array" ref="S239">_xlfn.SWITCH(T239,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0" spans="1:19">
      <c r="A240" t="s">
        <v>386</v>
      </c>
      <c r="B240">
        <v>50</v>
      </c>
      <c r="D240" s="28">
        <v>45960</v>
      </c>
      <c r="E240" t="s">
        <v>34</v>
      </c>
      <c r="G240" s="30">
        <v>45930.265972222223</v>
      </c>
      <c r="H240" t="s">
        <v>22</v>
      </c>
      <c r="I240" t="s">
        <v>72</v>
      </c>
      <c r="J240" t="s">
        <v>73</v>
      </c>
      <c r="K240" s="31">
        <v>45938</v>
      </c>
      <c r="M240" s="28"/>
      <c r="O240" s="24"/>
      <c r="P240" s="24">
        <f>Table1[[#This Row],[Цена за 1 бр. в BGN]]*Table1[[#This Row],[Поръчано Количество]]</f>
        <v>0</v>
      </c>
      <c r="S240" t="str" cm="1">
        <f t="array" ref="S240">_xlfn.SWITCH(T240,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1" spans="1:19">
      <c r="A241" t="s">
        <v>387</v>
      </c>
      <c r="B241">
        <v>1</v>
      </c>
      <c r="C241">
        <v>1</v>
      </c>
      <c r="D241" s="28">
        <v>45939</v>
      </c>
      <c r="E241" t="s">
        <v>34</v>
      </c>
      <c r="G241" s="30">
        <v>45932</v>
      </c>
      <c r="H241" t="s">
        <v>22</v>
      </c>
      <c r="I241" t="s">
        <v>388</v>
      </c>
      <c r="J241" t="s">
        <v>31</v>
      </c>
      <c r="K241" s="28">
        <v>45938</v>
      </c>
      <c r="M241" s="28">
        <v>45938</v>
      </c>
      <c r="N241">
        <v>1</v>
      </c>
      <c r="O241" s="24">
        <v>2510.33</v>
      </c>
      <c r="P241" s="24">
        <f>Table1[[#This Row],[Цена за 1 бр. в BGN]]*Table1[[#This Row],[Поръчано Количество]]</f>
        <v>2510.33</v>
      </c>
      <c r="S241" t="str" cm="1">
        <f t="array" ref="S241">_xlfn.SWITCH(T241,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2" spans="1:19">
      <c r="A242" t="s">
        <v>389</v>
      </c>
      <c r="B242">
        <v>2</v>
      </c>
      <c r="D242" s="28">
        <v>45939</v>
      </c>
      <c r="E242" t="s">
        <v>34</v>
      </c>
      <c r="G242" s="30">
        <v>45932</v>
      </c>
      <c r="H242" t="s">
        <v>22</v>
      </c>
      <c r="I242" t="s">
        <v>390</v>
      </c>
      <c r="J242" t="s">
        <v>48</v>
      </c>
      <c r="K242" s="28"/>
      <c r="M242" s="28"/>
      <c r="O242" s="24"/>
      <c r="P242" s="24">
        <f>Table1[[#This Row],[Цена за 1 бр. в BGN]]*Table1[[#This Row],[Поръчано Количество]]</f>
        <v>0</v>
      </c>
      <c r="S242" t="str" cm="1">
        <f t="array" ref="S242">_xlfn.SWITCH(T242,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3" spans="1:19">
      <c r="A243" t="s">
        <v>391</v>
      </c>
      <c r="B243">
        <v>2</v>
      </c>
      <c r="D243" s="28">
        <v>45939</v>
      </c>
      <c r="E243" t="s">
        <v>34</v>
      </c>
      <c r="G243" s="30">
        <v>45932</v>
      </c>
      <c r="H243" t="s">
        <v>22</v>
      </c>
      <c r="I243" t="s">
        <v>390</v>
      </c>
      <c r="J243" t="s">
        <v>48</v>
      </c>
      <c r="K243" s="28"/>
      <c r="M243" s="28"/>
      <c r="O243" s="24"/>
      <c r="P243" s="24">
        <f>Table1[[#This Row],[Цена за 1 бр. в BGN]]*Table1[[#This Row],[Поръчано Количество]]</f>
        <v>0</v>
      </c>
      <c r="S243" t="str" cm="1">
        <f t="array" ref="S243">_xlfn.SWITCH(T243,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4" spans="1:19">
      <c r="A244" t="s">
        <v>392</v>
      </c>
      <c r="B244">
        <v>2</v>
      </c>
      <c r="D244" s="28">
        <v>45939</v>
      </c>
      <c r="E244" t="s">
        <v>34</v>
      </c>
      <c r="G244" s="30">
        <v>45932</v>
      </c>
      <c r="H244" t="s">
        <v>22</v>
      </c>
      <c r="I244" t="s">
        <v>390</v>
      </c>
      <c r="J244" t="s">
        <v>48</v>
      </c>
      <c r="K244" s="28"/>
      <c r="M244" s="28"/>
      <c r="O244" s="24"/>
      <c r="P244" s="24">
        <f>Table1[[#This Row],[Цена за 1 бр. в BGN]]*Table1[[#This Row],[Поръчано Количество]]</f>
        <v>0</v>
      </c>
      <c r="S244" t="str" cm="1">
        <f t="array" ref="S244">_xlfn.SWITCH(T244,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5" spans="1:19">
      <c r="A245" s="63" t="s">
        <v>393</v>
      </c>
      <c r="B245">
        <v>2</v>
      </c>
      <c r="D245" s="28">
        <v>45939</v>
      </c>
      <c r="E245" t="s">
        <v>34</v>
      </c>
      <c r="G245" s="30">
        <v>45932</v>
      </c>
      <c r="H245" t="s">
        <v>22</v>
      </c>
      <c r="I245" t="s">
        <v>390</v>
      </c>
      <c r="J245" t="s">
        <v>48</v>
      </c>
      <c r="K245" s="28"/>
      <c r="M245" s="28"/>
      <c r="O245" s="24"/>
      <c r="P245" s="24">
        <f>Table1[[#This Row],[Цена за 1 бр. в BGN]]*Table1[[#This Row],[Поръчано Количество]]</f>
        <v>0</v>
      </c>
      <c r="S245" t="str" cm="1">
        <f t="array" ref="S245">_xlfn.SWITCH(T245,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6" spans="1:19">
      <c r="A246" t="s">
        <v>394</v>
      </c>
      <c r="B246">
        <v>2</v>
      </c>
      <c r="D246" s="28">
        <v>45939</v>
      </c>
      <c r="E246" t="s">
        <v>34</v>
      </c>
      <c r="G246" s="30">
        <v>45932</v>
      </c>
      <c r="H246" t="s">
        <v>22</v>
      </c>
      <c r="I246" t="s">
        <v>390</v>
      </c>
      <c r="J246" t="s">
        <v>48</v>
      </c>
      <c r="K246" s="28"/>
      <c r="M246" s="28"/>
      <c r="O246" s="24"/>
      <c r="P246" s="24">
        <f>Table1[[#This Row],[Цена за 1 бр. в BGN]]*Table1[[#This Row],[Поръчано Количество]]</f>
        <v>0</v>
      </c>
      <c r="S246" t="str" cm="1">
        <f t="array" ref="S246">_xlfn.SWITCH(T246,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7" spans="1:19">
      <c r="A247" t="s">
        <v>395</v>
      </c>
      <c r="B247">
        <v>2</v>
      </c>
      <c r="D247" s="28">
        <v>45939</v>
      </c>
      <c r="E247" t="s">
        <v>34</v>
      </c>
      <c r="G247" s="30">
        <v>45932</v>
      </c>
      <c r="H247" t="s">
        <v>22</v>
      </c>
      <c r="I247" t="s">
        <v>390</v>
      </c>
      <c r="J247" t="s">
        <v>48</v>
      </c>
      <c r="K247" s="28"/>
      <c r="M247" s="28"/>
      <c r="O247" s="24"/>
      <c r="P247" s="24">
        <f>Table1[[#This Row],[Цена за 1 бр. в BGN]]*Table1[[#This Row],[Поръчано Количество]]</f>
        <v>0</v>
      </c>
      <c r="S247" t="str" cm="1">
        <f t="array" ref="S247">_xlfn.SWITCH(T247,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8" spans="1:19">
      <c r="A248" t="s">
        <v>396</v>
      </c>
      <c r="B248">
        <v>4</v>
      </c>
      <c r="D248" s="28">
        <v>45939</v>
      </c>
      <c r="E248" t="s">
        <v>34</v>
      </c>
      <c r="G248" s="30">
        <v>45932</v>
      </c>
      <c r="H248" t="s">
        <v>235</v>
      </c>
      <c r="I248" t="s">
        <v>390</v>
      </c>
      <c r="J248" t="s">
        <v>48</v>
      </c>
      <c r="K248" s="28"/>
      <c r="M248" s="28"/>
      <c r="O248" s="24"/>
      <c r="P248" s="24">
        <f>Table1[[#This Row],[Цена за 1 бр. в BGN]]*Table1[[#This Row],[Поръчано Количество]]</f>
        <v>0</v>
      </c>
      <c r="S248" t="str" cm="1">
        <f t="array" ref="S248">_xlfn.SWITCH(T248,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9" spans="1:19">
      <c r="A249" t="s">
        <v>397</v>
      </c>
      <c r="B249">
        <v>1</v>
      </c>
      <c r="C249">
        <v>1</v>
      </c>
      <c r="D249" s="28">
        <v>45933</v>
      </c>
      <c r="E249" t="s">
        <v>34</v>
      </c>
      <c r="G249" s="30">
        <v>45926.285555555558</v>
      </c>
      <c r="H249" t="s">
        <v>22</v>
      </c>
      <c r="I249">
        <v>44389</v>
      </c>
      <c r="J249" t="s">
        <v>261</v>
      </c>
      <c r="K249" s="28">
        <v>45954</v>
      </c>
      <c r="M249" s="28"/>
      <c r="O249" s="24">
        <v>1981.8</v>
      </c>
      <c r="P249" s="24">
        <f>Table1[[#This Row],[Цена за 1 бр. в BGN]]*Table1[[#This Row],[Поръчано Количество]]</f>
        <v>1981.8</v>
      </c>
      <c r="S249" t="str" cm="1">
        <f t="array" ref="S249">_xlfn.SWITCH(T249,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0" spans="1:19" ht="30">
      <c r="A250" t="s">
        <v>398</v>
      </c>
      <c r="B250">
        <v>16</v>
      </c>
      <c r="D250" s="28">
        <v>45954</v>
      </c>
      <c r="E250" t="s">
        <v>21</v>
      </c>
      <c r="G250" s="30">
        <v>45936.573530092595</v>
      </c>
      <c r="H250" s="1" t="s">
        <v>42</v>
      </c>
      <c r="J250" s="1" t="s">
        <v>132</v>
      </c>
      <c r="K250" s="28"/>
      <c r="M250" s="28"/>
      <c r="O250" s="24"/>
      <c r="P250" s="24">
        <f>Table1[[#This Row],[Цена за 1 бр. в BGN]]*Table1[[#This Row],[Поръчано Количество]]</f>
        <v>0</v>
      </c>
      <c r="S250" t="str" cm="1">
        <f t="array" ref="S250">_xlfn.SWITCH(T250,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1" spans="1:19" ht="30">
      <c r="A251" t="s">
        <v>399</v>
      </c>
      <c r="B251">
        <v>18</v>
      </c>
      <c r="D251" s="28">
        <v>45954</v>
      </c>
      <c r="E251" t="s">
        <v>21</v>
      </c>
      <c r="G251" s="30">
        <v>45936.574062500003</v>
      </c>
      <c r="H251" s="1" t="s">
        <v>42</v>
      </c>
      <c r="J251" s="1" t="s">
        <v>132</v>
      </c>
      <c r="K251" s="28"/>
      <c r="M251" s="28"/>
      <c r="O251" s="24"/>
      <c r="P251" s="24">
        <f>Table1[[#This Row],[Цена за 1 бр. в BGN]]*Table1[[#This Row],[Поръчано Количество]]</f>
        <v>0</v>
      </c>
      <c r="S251" t="str" cm="1">
        <f t="array" ref="S251">_xlfn.SWITCH(T251,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2" spans="1:19">
      <c r="A252" t="s">
        <v>400</v>
      </c>
      <c r="B252">
        <v>4</v>
      </c>
      <c r="D252" s="28">
        <v>45938</v>
      </c>
      <c r="E252" t="s">
        <v>92</v>
      </c>
      <c r="G252" s="30">
        <v>45937.249965277777</v>
      </c>
      <c r="H252" t="s">
        <v>22</v>
      </c>
      <c r="J252" t="s">
        <v>24</v>
      </c>
      <c r="K252" s="28"/>
      <c r="M252" s="28"/>
      <c r="O252" s="24"/>
      <c r="P252" s="24">
        <f>Table1[[#This Row],[Цена за 1 бр. в BGN]]*Table1[[#This Row],[Поръчано Количество]]</f>
        <v>0</v>
      </c>
      <c r="S252" t="str" cm="1">
        <f t="array" ref="S252">_xlfn.SWITCH(T252,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3" spans="1:19">
      <c r="A253" t="s">
        <v>401</v>
      </c>
      <c r="B253">
        <v>6</v>
      </c>
      <c r="D253" s="28">
        <v>45944</v>
      </c>
      <c r="E253" t="s">
        <v>34</v>
      </c>
      <c r="G253" s="30">
        <v>45941.521458333336</v>
      </c>
      <c r="H253" s="1" t="s">
        <v>22</v>
      </c>
      <c r="J253" t="s">
        <v>24</v>
      </c>
      <c r="K253" s="28">
        <v>45944</v>
      </c>
      <c r="L253" s="65">
        <v>45944</v>
      </c>
      <c r="M253" s="28"/>
      <c r="O253" s="24"/>
      <c r="P253" s="24">
        <f>Table1[[#This Row],[Цена за 1 бр. в BGN]]*Table1[[#This Row],[Поръчано Количество]]</f>
        <v>0</v>
      </c>
      <c r="S253" t="str" cm="1">
        <f t="array" ref="S253">_xlfn.SWITCH(T253,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4" spans="1:19">
      <c r="A254" t="s">
        <v>402</v>
      </c>
      <c r="B254">
        <v>6</v>
      </c>
      <c r="D254" s="28">
        <v>45944</v>
      </c>
      <c r="E254" t="s">
        <v>34</v>
      </c>
      <c r="G254" s="30">
        <v>45941.522094907406</v>
      </c>
      <c r="H254" s="1" t="s">
        <v>22</v>
      </c>
      <c r="J254" t="s">
        <v>24</v>
      </c>
      <c r="K254" s="28">
        <v>45944</v>
      </c>
      <c r="L254" t="s">
        <v>403</v>
      </c>
      <c r="M254" s="28"/>
      <c r="O254" s="24"/>
      <c r="P254" s="24">
        <f>Table1[[#This Row],[Цена за 1 бр. в BGN]]*Table1[[#This Row],[Поръчано Количество]]</f>
        <v>0</v>
      </c>
      <c r="S254" t="str" cm="1">
        <f t="array" ref="S254">_xlfn.SWITCH(T254,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5" spans="1:19">
      <c r="A255" t="s">
        <v>404</v>
      </c>
      <c r="B255">
        <v>4</v>
      </c>
      <c r="C255">
        <v>4</v>
      </c>
      <c r="D255" s="28">
        <v>45954</v>
      </c>
      <c r="E255" t="s">
        <v>34</v>
      </c>
      <c r="G255" s="30">
        <v>45945.417094907411</v>
      </c>
      <c r="H255" s="1" t="s">
        <v>22</v>
      </c>
      <c r="I255" t="s">
        <v>405</v>
      </c>
      <c r="J255" t="s">
        <v>24</v>
      </c>
      <c r="K255" s="28">
        <v>45972</v>
      </c>
      <c r="M255" s="28">
        <v>45972</v>
      </c>
      <c r="O255" s="24">
        <v>31.78</v>
      </c>
      <c r="P255" s="24">
        <f>Table1[[#This Row],[Цена за 1 бр. в BGN]]*Table1[[#This Row],[Поръчано Количество]]</f>
        <v>127.12</v>
      </c>
      <c r="S255" t="str" cm="1">
        <f t="array" ref="S255">_xlfn.SWITCH(T255,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6" spans="1:19">
      <c r="A256" t="s">
        <v>406</v>
      </c>
      <c r="B256">
        <v>8</v>
      </c>
      <c r="C256">
        <v>8</v>
      </c>
      <c r="D256" s="28">
        <v>45955</v>
      </c>
      <c r="E256" t="s">
        <v>34</v>
      </c>
      <c r="G256" s="30">
        <v>45945.417557870373</v>
      </c>
      <c r="H256" s="1" t="s">
        <v>22</v>
      </c>
      <c r="I256" t="s">
        <v>405</v>
      </c>
      <c r="J256" t="s">
        <v>24</v>
      </c>
      <c r="K256" s="28">
        <v>45972</v>
      </c>
      <c r="M256" s="28">
        <v>45972</v>
      </c>
      <c r="O256" s="24">
        <v>29.46</v>
      </c>
      <c r="P256" s="24">
        <f>Table1[[#This Row],[Цена за 1 бр. в BGN]]*Table1[[#This Row],[Поръчано Количество]]</f>
        <v>235.68</v>
      </c>
      <c r="S256" t="str" cm="1">
        <f t="array" ref="S256">_xlfn.SWITCH(T256,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7" spans="1:20">
      <c r="A257" t="s">
        <v>407</v>
      </c>
      <c r="B257">
        <v>4</v>
      </c>
      <c r="C257">
        <v>4</v>
      </c>
      <c r="D257" s="28">
        <v>45954</v>
      </c>
      <c r="E257" t="s">
        <v>34</v>
      </c>
      <c r="G257" s="30">
        <v>45945.419733796298</v>
      </c>
      <c r="H257" s="1" t="s">
        <v>22</v>
      </c>
      <c r="I257" t="s">
        <v>405</v>
      </c>
      <c r="J257" s="1" t="s">
        <v>24</v>
      </c>
      <c r="K257" s="28">
        <v>45972</v>
      </c>
      <c r="M257" s="28">
        <v>45972</v>
      </c>
      <c r="O257" s="24">
        <v>29.46</v>
      </c>
      <c r="P257" s="24">
        <f>Table1[[#This Row],[Цена за 1 бр. в BGN]]*Table1[[#This Row],[Поръчано Количество]]</f>
        <v>117.84</v>
      </c>
      <c r="S257" t="str" cm="1">
        <f t="array" ref="S257">_xlfn.SWITCH(T257,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8" spans="1:20">
      <c r="A258" t="s">
        <v>408</v>
      </c>
      <c r="B258">
        <v>4</v>
      </c>
      <c r="C258">
        <v>4</v>
      </c>
      <c r="D258" s="28">
        <v>45954</v>
      </c>
      <c r="E258" t="s">
        <v>34</v>
      </c>
      <c r="G258" s="30">
        <v>45945.420601851853</v>
      </c>
      <c r="H258" s="1" t="s">
        <v>22</v>
      </c>
      <c r="I258" t="s">
        <v>405</v>
      </c>
      <c r="J258" t="s">
        <v>24</v>
      </c>
      <c r="K258" s="28">
        <v>45972</v>
      </c>
      <c r="M258" s="28">
        <v>45972</v>
      </c>
      <c r="O258" s="24">
        <v>31.09</v>
      </c>
      <c r="P258" s="24">
        <f>Table1[[#This Row],[Цена за 1 бр. в BGN]]*Table1[[#This Row],[Поръчано Количество]]</f>
        <v>124.36</v>
      </c>
      <c r="S258" t="str" cm="1">
        <f t="array" ref="S258">_xlfn.SWITCH(T258,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9" spans="1:20">
      <c r="A259" t="s">
        <v>409</v>
      </c>
      <c r="B259">
        <v>3</v>
      </c>
      <c r="D259" s="28">
        <v>45950</v>
      </c>
      <c r="E259" t="s">
        <v>21</v>
      </c>
      <c r="G259" s="30">
        <v>45947.266319444447</v>
      </c>
      <c r="H259" s="1"/>
      <c r="K259" s="28"/>
      <c r="M259" s="28"/>
      <c r="O259" s="24"/>
      <c r="P259" s="24">
        <f>Table1[[#This Row],[Цена за 1 бр. в BGN]]*Table1[[#This Row],[Поръчано Количество]]</f>
        <v>0</v>
      </c>
      <c r="S259" t="str" cm="1">
        <f t="array" ref="S259">_xlfn.SWITCH(T259,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0" spans="1:20" ht="30">
      <c r="A260" t="s">
        <v>410</v>
      </c>
      <c r="B260">
        <v>3</v>
      </c>
      <c r="C260">
        <v>1</v>
      </c>
      <c r="D260" s="28">
        <v>45961</v>
      </c>
      <c r="E260" t="s">
        <v>21</v>
      </c>
      <c r="G260" s="30">
        <v>45949.461180555554</v>
      </c>
      <c r="H260" s="1" t="s">
        <v>235</v>
      </c>
      <c r="I260" t="s">
        <v>411</v>
      </c>
      <c r="J260" s="1" t="s">
        <v>295</v>
      </c>
      <c r="K260" s="28">
        <v>46072</v>
      </c>
      <c r="M260" s="28"/>
      <c r="O260" s="24"/>
      <c r="P260" s="24">
        <f>Table1[[#This Row],[Цена за 1 бр. в BGN]]*Table1[[#This Row],[Поръчано Количество]]</f>
        <v>0</v>
      </c>
      <c r="S260" t="str" cm="1">
        <f t="array" ref="S260">_xlfn.SWITCH(T260,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1" spans="1:20">
      <c r="A261" t="s">
        <v>412</v>
      </c>
      <c r="B261">
        <v>2</v>
      </c>
      <c r="C261">
        <v>2</v>
      </c>
      <c r="D261" s="28">
        <v>45952</v>
      </c>
      <c r="E261" t="s">
        <v>34</v>
      </c>
      <c r="G261" s="30">
        <v>45950.3044212963</v>
      </c>
      <c r="H261" s="1" t="s">
        <v>22</v>
      </c>
      <c r="I261" t="s">
        <v>413</v>
      </c>
      <c r="J261" s="1" t="s">
        <v>31</v>
      </c>
      <c r="K261" s="28"/>
      <c r="M261" s="28"/>
      <c r="O261" s="24"/>
      <c r="P261" s="24">
        <f>Table1[[#This Row],[Цена за 1 бр. в BGN]]*Table1[[#This Row],[Поръчано Количество]]</f>
        <v>0</v>
      </c>
      <c r="S261" t="str" cm="1">
        <f t="array" ref="S261">_xlfn.SWITCH(T261,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2" spans="1:20">
      <c r="A262" t="s">
        <v>414</v>
      </c>
      <c r="B262">
        <v>2</v>
      </c>
      <c r="C262">
        <v>2</v>
      </c>
      <c r="D262" s="28">
        <v>45952</v>
      </c>
      <c r="E262" t="s">
        <v>34</v>
      </c>
      <c r="G262" s="30">
        <v>45950.304710648146</v>
      </c>
      <c r="H262" s="1" t="s">
        <v>22</v>
      </c>
      <c r="I262" t="s">
        <v>413</v>
      </c>
      <c r="J262" s="1" t="s">
        <v>31</v>
      </c>
      <c r="K262" s="28"/>
      <c r="M262" s="28"/>
      <c r="O262" s="24"/>
      <c r="P262" s="24">
        <f>Table1[[#This Row],[Цена за 1 бр. в BGN]]*Table1[[#This Row],[Поръчано Количество]]</f>
        <v>0</v>
      </c>
      <c r="S262" t="str" cm="1">
        <f t="array" ref="S262">_xlfn.SWITCH(T262,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3" spans="1:20">
      <c r="A263" t="s">
        <v>415</v>
      </c>
      <c r="B263">
        <v>1</v>
      </c>
      <c r="C263">
        <v>1</v>
      </c>
      <c r="D263" s="28">
        <v>45952</v>
      </c>
      <c r="E263" t="s">
        <v>34</v>
      </c>
      <c r="G263" s="30">
        <v>45950.306817129633</v>
      </c>
      <c r="H263" s="1" t="s">
        <v>22</v>
      </c>
      <c r="I263" t="s">
        <v>413</v>
      </c>
      <c r="J263" s="1" t="s">
        <v>31</v>
      </c>
      <c r="K263" s="28"/>
      <c r="M263" s="28"/>
      <c r="O263" s="24"/>
      <c r="P263" s="24">
        <f>Table1[[#This Row],[Цена за 1 бр. в BGN]]*Table1[[#This Row],[Поръчано Количество]]</f>
        <v>0</v>
      </c>
      <c r="S263" t="str" cm="1">
        <f t="array" ref="S263">_xlfn.SWITCH(T263,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4" spans="1:20">
      <c r="A264" t="s">
        <v>416</v>
      </c>
      <c r="B264">
        <v>2</v>
      </c>
      <c r="C264">
        <v>2</v>
      </c>
      <c r="D264" s="28">
        <v>45968</v>
      </c>
      <c r="E264" t="s">
        <v>21</v>
      </c>
      <c r="G264" s="30">
        <v>45955.134814814817</v>
      </c>
      <c r="H264" s="1" t="s">
        <v>22</v>
      </c>
      <c r="J264" s="1"/>
      <c r="K264" s="28"/>
      <c r="M264" s="28">
        <v>27</v>
      </c>
      <c r="O264" s="24"/>
      <c r="P264" s="24">
        <f>Table1[[#This Row],[Цена за 1 бр. в BGN]]*Table1[[#This Row],[Поръчано Количество]]</f>
        <v>0</v>
      </c>
      <c r="S264" t="str" cm="1">
        <f t="array" ref="S264">_xlfn.SWITCH(T264,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5" spans="1:20">
      <c r="A265" t="s">
        <v>417</v>
      </c>
      <c r="B265">
        <v>6</v>
      </c>
      <c r="C265">
        <v>6</v>
      </c>
      <c r="D265" s="28">
        <v>45958</v>
      </c>
      <c r="E265" t="s">
        <v>34</v>
      </c>
      <c r="G265" s="30">
        <v>45957.300694444442</v>
      </c>
      <c r="H265" s="1" t="s">
        <v>22</v>
      </c>
      <c r="J265" s="1" t="s">
        <v>418</v>
      </c>
      <c r="K265" s="28"/>
      <c r="M265" s="28"/>
      <c r="O265" s="24"/>
      <c r="P265" s="24">
        <f>Table1[[#This Row],[Цена за 1 бр. в BGN]]*Table1[[#This Row],[Поръчано Количество]]</f>
        <v>0</v>
      </c>
      <c r="S265" t="str" cm="1">
        <f t="array" ref="S265">_xlfn.SWITCH(T265,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6" spans="1:20">
      <c r="A266" t="s">
        <v>419</v>
      </c>
      <c r="B266">
        <v>2</v>
      </c>
      <c r="C266">
        <v>2</v>
      </c>
      <c r="D266" s="28">
        <v>45958</v>
      </c>
      <c r="E266" t="s">
        <v>34</v>
      </c>
      <c r="G266" s="30">
        <v>45957.301064814812</v>
      </c>
      <c r="H266" s="1" t="s">
        <v>22</v>
      </c>
      <c r="J266" s="1" t="s">
        <v>418</v>
      </c>
      <c r="K266" s="28"/>
      <c r="M266" s="28"/>
      <c r="O266" s="24"/>
      <c r="P266" s="24">
        <f>Table1[[#This Row],[Цена за 1 бр. в BGN]]*Table1[[#This Row],[Поръчано Количество]]</f>
        <v>0</v>
      </c>
      <c r="S266" t="str" cm="1">
        <f t="array" ref="S266">_xlfn.SWITCH(T266,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7" spans="1:20" ht="45">
      <c r="A267" t="s">
        <v>420</v>
      </c>
      <c r="B267">
        <v>1</v>
      </c>
      <c r="D267" s="28">
        <v>46022</v>
      </c>
      <c r="E267" t="s">
        <v>87</v>
      </c>
      <c r="F267" s="1" t="s">
        <v>421</v>
      </c>
      <c r="G267" s="30">
        <v>45958.253113425926</v>
      </c>
      <c r="H267" s="1" t="s">
        <v>42</v>
      </c>
      <c r="I267" t="s">
        <v>422</v>
      </c>
      <c r="J267" s="1" t="s">
        <v>128</v>
      </c>
      <c r="K267" s="28"/>
      <c r="M267" s="28"/>
      <c r="O267" s="24"/>
      <c r="P267" s="24">
        <f>Table1[[#This Row],[Цена за 1 бр. в BGN]]*Table1[[#This Row],[Поръчано Количество]]</f>
        <v>0</v>
      </c>
      <c r="S267" t="str" cm="1">
        <f t="array" ref="S267">_xlfn.SWITCH(T267,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Iliev</v>
      </c>
      <c r="T267" s="6" t="s">
        <v>423</v>
      </c>
    </row>
    <row r="268" spans="1:20" ht="45">
      <c r="A268" t="s">
        <v>424</v>
      </c>
      <c r="B268">
        <v>1</v>
      </c>
      <c r="D268" s="28">
        <v>46022</v>
      </c>
      <c r="E268" t="s">
        <v>87</v>
      </c>
      <c r="F268" s="1" t="s">
        <v>421</v>
      </c>
      <c r="G268" s="30">
        <v>45958.350706018522</v>
      </c>
      <c r="H268" s="1" t="s">
        <v>235</v>
      </c>
      <c r="I268" t="s">
        <v>422</v>
      </c>
      <c r="J268" s="1" t="s">
        <v>128</v>
      </c>
      <c r="K268" s="28"/>
      <c r="M268" s="28"/>
      <c r="O268" s="24"/>
      <c r="P268" s="24">
        <f>Table1[[#This Row],[Цена за 1 бр. в BGN]]*Table1[[#This Row],[Поръчано Количество]]</f>
        <v>0</v>
      </c>
      <c r="S268" t="str" cm="1">
        <f t="array" ref="S268">_xlfn.SWITCH(T268,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Iliev</v>
      </c>
      <c r="T268" s="6" t="s">
        <v>423</v>
      </c>
    </row>
    <row r="269" spans="1:20">
      <c r="A269" t="s">
        <v>425</v>
      </c>
      <c r="B269">
        <v>6</v>
      </c>
      <c r="C269">
        <v>6</v>
      </c>
      <c r="D269" s="28">
        <v>45961</v>
      </c>
      <c r="E269" t="s">
        <v>34</v>
      </c>
      <c r="F269" s="1"/>
      <c r="G269" s="30">
        <v>45958.387789351851</v>
      </c>
      <c r="H269" s="1" t="s">
        <v>22</v>
      </c>
      <c r="I269">
        <v>197470</v>
      </c>
      <c r="J269" s="1" t="s">
        <v>58</v>
      </c>
      <c r="K269" s="28">
        <v>45972</v>
      </c>
      <c r="M269" s="28">
        <v>45972</v>
      </c>
      <c r="O269" s="24"/>
      <c r="P269" s="24">
        <f>Table1[[#This Row],[Цена за 1 бр. в BGN]]*Table1[[#This Row],[Поръчано Количество]]</f>
        <v>0</v>
      </c>
      <c r="S269" t="str" cm="1">
        <f t="array" ref="S269">_xlfn.SWITCH(T269,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0" spans="1:20">
      <c r="A270" t="s">
        <v>426</v>
      </c>
      <c r="B270">
        <v>4</v>
      </c>
      <c r="C270">
        <v>4</v>
      </c>
      <c r="D270" s="28">
        <v>45961</v>
      </c>
      <c r="E270" t="s">
        <v>34</v>
      </c>
      <c r="F270" s="1"/>
      <c r="G270" s="30">
        <v>45958.388402777775</v>
      </c>
      <c r="H270" s="1" t="s">
        <v>22</v>
      </c>
      <c r="I270">
        <v>197470</v>
      </c>
      <c r="J270" s="1" t="s">
        <v>58</v>
      </c>
      <c r="K270" s="28">
        <v>45972</v>
      </c>
      <c r="M270" s="28">
        <v>45972</v>
      </c>
      <c r="O270" s="24"/>
      <c r="P270" s="24">
        <f>Table1[[#This Row],[Цена за 1 бр. в BGN]]*Table1[[#This Row],[Поръчано Количество]]</f>
        <v>0</v>
      </c>
      <c r="S270" t="str" cm="1">
        <f t="array" ref="S270">_xlfn.SWITCH(T270,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1" spans="1:20">
      <c r="A271" t="s">
        <v>427</v>
      </c>
      <c r="B271">
        <v>4</v>
      </c>
      <c r="C271">
        <v>4</v>
      </c>
      <c r="D271" s="28">
        <v>45961</v>
      </c>
      <c r="E271" t="s">
        <v>34</v>
      </c>
      <c r="F271" s="1"/>
      <c r="G271" s="30">
        <v>45958.388599537036</v>
      </c>
      <c r="H271" s="1" t="s">
        <v>22</v>
      </c>
      <c r="I271">
        <v>197470</v>
      </c>
      <c r="J271" s="1" t="s">
        <v>58</v>
      </c>
      <c r="K271" s="28">
        <v>45972</v>
      </c>
      <c r="M271" s="28">
        <v>45972</v>
      </c>
      <c r="O271" s="24"/>
      <c r="P271" s="24">
        <f>Table1[[#This Row],[Цена за 1 бр. в BGN]]*Table1[[#This Row],[Поръчано Количество]]</f>
        <v>0</v>
      </c>
      <c r="S271" t="str" cm="1">
        <f t="array" ref="S271">_xlfn.SWITCH(T271,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2" spans="1:20">
      <c r="A272" t="s">
        <v>428</v>
      </c>
      <c r="B272">
        <v>4</v>
      </c>
      <c r="C272">
        <v>4</v>
      </c>
      <c r="D272" s="28">
        <v>45961</v>
      </c>
      <c r="E272" t="s">
        <v>34</v>
      </c>
      <c r="F272" s="1"/>
      <c r="G272" s="30">
        <v>45958.388796296298</v>
      </c>
      <c r="H272" s="1" t="s">
        <v>22</v>
      </c>
      <c r="I272">
        <v>197470</v>
      </c>
      <c r="J272" s="1" t="s">
        <v>58</v>
      </c>
      <c r="K272" s="28">
        <v>45972</v>
      </c>
      <c r="M272" s="28">
        <v>45972</v>
      </c>
      <c r="O272" s="24"/>
      <c r="P272" s="24">
        <f>Table1[[#This Row],[Цена за 1 бр. в BGN]]*Table1[[#This Row],[Поръчано Количество]]</f>
        <v>0</v>
      </c>
      <c r="S272" t="str" cm="1">
        <f t="array" ref="S272">_xlfn.SWITCH(T272,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3" spans="1:20">
      <c r="A273" t="s">
        <v>429</v>
      </c>
      <c r="B273">
        <v>4</v>
      </c>
      <c r="C273">
        <v>4</v>
      </c>
      <c r="D273" s="28">
        <v>45961</v>
      </c>
      <c r="E273" t="s">
        <v>34</v>
      </c>
      <c r="F273" s="1"/>
      <c r="G273" s="30">
        <v>45958.389108796298</v>
      </c>
      <c r="H273" s="1" t="s">
        <v>22</v>
      </c>
      <c r="I273">
        <v>197470</v>
      </c>
      <c r="J273" s="1" t="s">
        <v>58</v>
      </c>
      <c r="K273" s="28">
        <v>45972</v>
      </c>
      <c r="M273" s="28">
        <v>45972</v>
      </c>
      <c r="O273" s="24"/>
      <c r="P273" s="24">
        <f>Table1[[#This Row],[Цена за 1 бр. в BGN]]*Table1[[#This Row],[Поръчано Количество]]</f>
        <v>0</v>
      </c>
      <c r="S273" t="str" cm="1">
        <f t="array" ref="S273">_xlfn.SWITCH(T273,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4" spans="1:20" ht="30">
      <c r="A274" t="s">
        <v>430</v>
      </c>
      <c r="B274">
        <v>1</v>
      </c>
      <c r="D274" s="28">
        <v>45968</v>
      </c>
      <c r="E274" t="s">
        <v>34</v>
      </c>
      <c r="F274" s="1"/>
      <c r="G274" s="30">
        <v>45961.387442129628</v>
      </c>
      <c r="H274" s="1" t="s">
        <v>42</v>
      </c>
      <c r="I274" t="s">
        <v>431</v>
      </c>
      <c r="J274" s="1"/>
      <c r="K274" s="28"/>
      <c r="M274" s="28"/>
      <c r="O274" s="24"/>
      <c r="P274" s="24">
        <f>Table1[[#This Row],[Цена за 1 бр. в BGN]]*Table1[[#This Row],[Поръчано Количество]]</f>
        <v>0</v>
      </c>
      <c r="S274" t="str" cm="1">
        <f t="array" ref="S274">_xlfn.SWITCH(T274,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Iliev</v>
      </c>
      <c r="T274" s="6" t="s">
        <v>423</v>
      </c>
    </row>
    <row r="275" spans="1:20" ht="30">
      <c r="A275" t="s">
        <v>432</v>
      </c>
      <c r="B275">
        <v>2</v>
      </c>
      <c r="C275">
        <v>1</v>
      </c>
      <c r="D275" s="28">
        <v>45975</v>
      </c>
      <c r="E275" t="s">
        <v>21</v>
      </c>
      <c r="F275" s="1"/>
      <c r="G275" s="30">
        <v>45961.528368055559</v>
      </c>
      <c r="H275" s="1" t="s">
        <v>235</v>
      </c>
      <c r="I275" t="s">
        <v>433</v>
      </c>
      <c r="J275" s="1" t="s">
        <v>295</v>
      </c>
      <c r="K275" s="28">
        <v>46020</v>
      </c>
      <c r="M275" s="28"/>
      <c r="O275" s="24">
        <f>1.7*3210</f>
        <v>5457</v>
      </c>
      <c r="P275" s="24">
        <f>Table1[[#This Row],[Цена за 1 бр. в BGN]]*Table1[[#This Row],[Поръчано Количество]]</f>
        <v>5457</v>
      </c>
      <c r="S275" t="str" cm="1">
        <f t="array" ref="S275">_xlfn.SWITCH(T275,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75" t="s">
        <v>434</v>
      </c>
    </row>
    <row r="276" spans="1:20">
      <c r="A276" t="s">
        <v>435</v>
      </c>
      <c r="B276">
        <v>4</v>
      </c>
      <c r="D276" s="28">
        <v>45982</v>
      </c>
      <c r="E276" t="s">
        <v>21</v>
      </c>
      <c r="F276" s="1"/>
      <c r="G276" s="30">
        <v>45961.530590277776</v>
      </c>
      <c r="H276" s="1"/>
      <c r="J276" s="1"/>
      <c r="K276" s="28"/>
      <c r="M276" s="28"/>
      <c r="O276" s="24"/>
      <c r="P276" s="24">
        <f>Table1[[#This Row],[Цена за 1 бр. в BGN]]*Table1[[#This Row],[Поръчано Количество]]</f>
        <v>0</v>
      </c>
      <c r="S276" t="str" cm="1">
        <f t="array" ref="S276">_xlfn.SWITCH(T276,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76" t="s">
        <v>434</v>
      </c>
    </row>
    <row r="277" spans="1:20">
      <c r="A277" t="s">
        <v>436</v>
      </c>
      <c r="B277">
        <v>4</v>
      </c>
      <c r="C277">
        <v>4</v>
      </c>
      <c r="D277" s="28">
        <v>45975</v>
      </c>
      <c r="E277" t="s">
        <v>21</v>
      </c>
      <c r="F277" s="1"/>
      <c r="G277" s="30">
        <v>45963.402488425927</v>
      </c>
      <c r="H277" s="1" t="s">
        <v>22</v>
      </c>
      <c r="I277" t="s">
        <v>437</v>
      </c>
      <c r="J277" s="1" t="s">
        <v>24</v>
      </c>
      <c r="K277" s="28">
        <v>45989</v>
      </c>
      <c r="L277" t="s">
        <v>438</v>
      </c>
      <c r="M277" s="28">
        <v>45988</v>
      </c>
      <c r="N277">
        <v>4</v>
      </c>
      <c r="O277" s="24">
        <v>106.97</v>
      </c>
      <c r="P277" s="24">
        <f>Table1[[#This Row],[Цена за 1 бр. в BGN]]*Table1[[#This Row],[Поръчано Количество]]</f>
        <v>427.88</v>
      </c>
      <c r="Q277" t="s">
        <v>439</v>
      </c>
      <c r="S277" t="str" cm="1">
        <f t="array" ref="S277">_xlfn.SWITCH(T277,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77" t="s">
        <v>434</v>
      </c>
    </row>
    <row r="278" spans="1:20">
      <c r="A278" t="s">
        <v>440</v>
      </c>
      <c r="B278">
        <v>2</v>
      </c>
      <c r="C278">
        <v>2</v>
      </c>
      <c r="D278" s="28">
        <v>45965</v>
      </c>
      <c r="E278" t="s">
        <v>34</v>
      </c>
      <c r="F278" s="1"/>
      <c r="G278" s="30">
        <v>45964.52076388889</v>
      </c>
      <c r="H278" s="1" t="s">
        <v>22</v>
      </c>
      <c r="I278" t="s">
        <v>441</v>
      </c>
      <c r="J278" s="1" t="s">
        <v>31</v>
      </c>
      <c r="K278" s="28"/>
      <c r="M278" s="28">
        <v>45974</v>
      </c>
      <c r="O278" s="24">
        <v>44.877000000000002</v>
      </c>
      <c r="P278" s="24">
        <f>Table1[[#This Row],[Цена за 1 бр. в BGN]]*Table1[[#This Row],[Поръчано Количество]]</f>
        <v>89.754000000000005</v>
      </c>
      <c r="S278" t="str" cm="1">
        <f t="array" ref="S278">_xlfn.SWITCH(T278,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Iliev</v>
      </c>
      <c r="T278" s="6" t="s">
        <v>423</v>
      </c>
    </row>
    <row r="279" spans="1:20">
      <c r="A279" t="s">
        <v>442</v>
      </c>
      <c r="B279">
        <v>2</v>
      </c>
      <c r="C279">
        <v>2</v>
      </c>
      <c r="D279" s="28">
        <v>45965</v>
      </c>
      <c r="E279" t="s">
        <v>34</v>
      </c>
      <c r="F279" s="1"/>
      <c r="G279" s="30">
        <v>45964.521006944444</v>
      </c>
      <c r="H279" s="1" t="s">
        <v>22</v>
      </c>
      <c r="I279" t="s">
        <v>441</v>
      </c>
      <c r="J279" s="1" t="s">
        <v>31</v>
      </c>
      <c r="K279" s="28"/>
      <c r="M279" s="28">
        <v>45974</v>
      </c>
      <c r="O279" s="24">
        <v>59.597999999999999</v>
      </c>
      <c r="P279" s="24">
        <f>Table1[[#This Row],[Цена за 1 бр. в BGN]]*Table1[[#This Row],[Поръчано Количество]]</f>
        <v>119.196</v>
      </c>
      <c r="S279" t="str" cm="1">
        <f t="array" ref="S279">_xlfn.SWITCH(T279,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Iliev</v>
      </c>
      <c r="T279" s="6" t="s">
        <v>423</v>
      </c>
    </row>
    <row r="280" spans="1:20">
      <c r="A280" t="s">
        <v>443</v>
      </c>
      <c r="B280">
        <v>4</v>
      </c>
      <c r="C280">
        <v>4</v>
      </c>
      <c r="D280" s="28">
        <v>45965</v>
      </c>
      <c r="E280" t="s">
        <v>34</v>
      </c>
      <c r="F280" s="1"/>
      <c r="G280" s="30">
        <v>45964.521423611113</v>
      </c>
      <c r="H280" s="1" t="s">
        <v>22</v>
      </c>
      <c r="I280" t="s">
        <v>441</v>
      </c>
      <c r="J280" s="1" t="s">
        <v>31</v>
      </c>
      <c r="K280" s="28"/>
      <c r="M280" s="28">
        <v>45974</v>
      </c>
      <c r="O280" s="24">
        <v>15.952999999999999</v>
      </c>
      <c r="P280" s="24">
        <f>Table1[[#This Row],[Цена за 1 бр. в BGN]]*Table1[[#This Row],[Поръчано Количество]]</f>
        <v>63.811999999999998</v>
      </c>
      <c r="S280" t="str" cm="1">
        <f t="array" ref="S280">_xlfn.SWITCH(T280,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Iliev</v>
      </c>
      <c r="T280" s="6" t="s">
        <v>423</v>
      </c>
    </row>
    <row r="281" spans="1:20">
      <c r="A281" t="s">
        <v>444</v>
      </c>
      <c r="B281">
        <v>1</v>
      </c>
      <c r="C281">
        <v>1</v>
      </c>
      <c r="D281" s="28">
        <v>45989</v>
      </c>
      <c r="E281" t="s">
        <v>87</v>
      </c>
      <c r="F281" s="1"/>
      <c r="G281" s="30">
        <v>45966.31459490741</v>
      </c>
      <c r="H281" s="1" t="s">
        <v>235</v>
      </c>
      <c r="I281" t="s">
        <v>445</v>
      </c>
      <c r="J281" s="1" t="s">
        <v>48</v>
      </c>
      <c r="K281" s="28"/>
      <c r="M281" s="28"/>
      <c r="O281" s="24">
        <v>2349.12</v>
      </c>
      <c r="P281" s="24">
        <f>Table1[[#This Row],[Цена за 1 бр. в BGN]]*Table1[[#This Row],[Поръчано Количество]]</f>
        <v>2349.12</v>
      </c>
      <c r="S281" t="str" cm="1">
        <f t="array" ref="S281">_xlfn.SWITCH(T281,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Iliev</v>
      </c>
      <c r="T281" s="6" t="s">
        <v>423</v>
      </c>
    </row>
    <row r="282" spans="1:20">
      <c r="A282" t="s">
        <v>446</v>
      </c>
      <c r="B282">
        <v>3</v>
      </c>
      <c r="C282">
        <v>3</v>
      </c>
      <c r="D282" s="28">
        <v>45975</v>
      </c>
      <c r="E282" t="s">
        <v>21</v>
      </c>
      <c r="F282" s="1"/>
      <c r="G282" s="30">
        <v>45968.287627314814</v>
      </c>
      <c r="H282" s="1" t="s">
        <v>22</v>
      </c>
      <c r="I282" t="s">
        <v>437</v>
      </c>
      <c r="J282" s="1" t="s">
        <v>24</v>
      </c>
      <c r="K282" s="28">
        <v>45989</v>
      </c>
      <c r="L282" t="s">
        <v>438</v>
      </c>
      <c r="M282" s="28">
        <v>45988</v>
      </c>
      <c r="N282">
        <v>3</v>
      </c>
      <c r="O282" s="24">
        <v>46.75</v>
      </c>
      <c r="P282" s="24">
        <f>Table1[[#This Row],[Цена за 1 бр. в BGN]]*Table1[[#This Row],[Поръчано Количество]]</f>
        <v>140.25</v>
      </c>
      <c r="Q282" t="s">
        <v>439</v>
      </c>
      <c r="S282" t="str" cm="1">
        <f t="array" ref="S282">_xlfn.SWITCH(T282,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82" s="6" t="s">
        <v>434</v>
      </c>
    </row>
    <row r="283" spans="1:20">
      <c r="A283" t="s">
        <v>447</v>
      </c>
      <c r="B283">
        <v>2</v>
      </c>
      <c r="C283">
        <v>2</v>
      </c>
      <c r="D283" s="28">
        <v>45982</v>
      </c>
      <c r="E283" t="s">
        <v>21</v>
      </c>
      <c r="F283" s="1"/>
      <c r="G283" s="30">
        <v>45969.311782407407</v>
      </c>
      <c r="H283" s="1" t="s">
        <v>22</v>
      </c>
      <c r="I283" t="s">
        <v>437</v>
      </c>
      <c r="J283" s="1" t="s">
        <v>24</v>
      </c>
      <c r="K283" s="28">
        <v>45989</v>
      </c>
      <c r="L283" t="s">
        <v>438</v>
      </c>
      <c r="M283" s="28">
        <v>45988</v>
      </c>
      <c r="N283">
        <v>2</v>
      </c>
      <c r="O283" s="24">
        <v>61.9</v>
      </c>
      <c r="P283" s="24">
        <f>Table1[[#This Row],[Цена за 1 бр. в BGN]]*Table1[[#This Row],[Поръчано Количество]]</f>
        <v>123.8</v>
      </c>
      <c r="Q283" t="s">
        <v>439</v>
      </c>
      <c r="S283" t="str" cm="1">
        <f t="array" ref="S283">_xlfn.SWITCH(T283,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83" s="6" t="s">
        <v>434</v>
      </c>
    </row>
    <row r="284" spans="1:20">
      <c r="A284" t="s">
        <v>448</v>
      </c>
      <c r="B284">
        <v>2</v>
      </c>
      <c r="C284">
        <v>2</v>
      </c>
      <c r="D284" s="28">
        <v>45974</v>
      </c>
      <c r="E284" t="s">
        <v>63</v>
      </c>
      <c r="F284" s="1"/>
      <c r="G284" s="30">
        <v>45969.31212962963</v>
      </c>
      <c r="H284" s="1" t="s">
        <v>22</v>
      </c>
      <c r="I284">
        <v>197470</v>
      </c>
      <c r="J284" s="1" t="s">
        <v>58</v>
      </c>
      <c r="K284" s="28">
        <v>45972</v>
      </c>
      <c r="M284" s="28">
        <v>45972</v>
      </c>
      <c r="O284" s="24"/>
      <c r="P284" s="24">
        <f>Table1[[#This Row],[Цена за 1 бр. в BGN]]*Table1[[#This Row],[Поръчано Количество]]</f>
        <v>0</v>
      </c>
      <c r="S284" t="str" cm="1">
        <f t="array" ref="S284">_xlfn.SWITCH(T284,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84" s="6" t="s">
        <v>434</v>
      </c>
    </row>
    <row r="285" spans="1:20">
      <c r="A285" t="s">
        <v>449</v>
      </c>
      <c r="B285">
        <v>2</v>
      </c>
      <c r="C285">
        <v>2</v>
      </c>
      <c r="D285" s="28">
        <v>45975</v>
      </c>
      <c r="E285" t="s">
        <v>63</v>
      </c>
      <c r="F285" s="1"/>
      <c r="G285" s="30">
        <v>45969.315057870372</v>
      </c>
      <c r="H285" s="1" t="s">
        <v>22</v>
      </c>
      <c r="I285">
        <v>197470</v>
      </c>
      <c r="J285" s="1" t="s">
        <v>58</v>
      </c>
      <c r="K285" s="28">
        <v>45972</v>
      </c>
      <c r="M285" s="28">
        <v>45972</v>
      </c>
      <c r="O285" s="24"/>
      <c r="P285" s="24">
        <f>Table1[[#This Row],[Цена за 1 бр. в BGN]]*Table1[[#This Row],[Поръчано Количество]]</f>
        <v>0</v>
      </c>
      <c r="S285" t="str" cm="1">
        <f t="array" ref="S285">_xlfn.SWITCH(T285,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85" s="6" t="s">
        <v>434</v>
      </c>
    </row>
    <row r="286" spans="1:20">
      <c r="A286" t="s">
        <v>450</v>
      </c>
      <c r="B286">
        <v>1</v>
      </c>
      <c r="C286">
        <v>1</v>
      </c>
      <c r="D286" s="28">
        <v>45975</v>
      </c>
      <c r="E286" t="s">
        <v>63</v>
      </c>
      <c r="F286" s="1"/>
      <c r="G286" s="30">
        <v>45969.315532407411</v>
      </c>
      <c r="H286" s="1" t="s">
        <v>22</v>
      </c>
      <c r="I286">
        <v>197470</v>
      </c>
      <c r="J286" s="1" t="s">
        <v>58</v>
      </c>
      <c r="K286" s="28">
        <v>45972</v>
      </c>
      <c r="M286" s="28">
        <v>45972</v>
      </c>
      <c r="O286" s="24"/>
      <c r="P286" s="24">
        <f>Table1[[#This Row],[Цена за 1 бр. в BGN]]*Table1[[#This Row],[Поръчано Количество]]</f>
        <v>0</v>
      </c>
      <c r="S286" t="str" cm="1">
        <f t="array" ref="S286">_xlfn.SWITCH(T286,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86" s="6" t="s">
        <v>434</v>
      </c>
    </row>
    <row r="287" spans="1:20">
      <c r="A287" t="s">
        <v>451</v>
      </c>
      <c r="B287">
        <v>100</v>
      </c>
      <c r="C287">
        <v>100</v>
      </c>
      <c r="D287" s="28">
        <v>45972</v>
      </c>
      <c r="E287" t="s">
        <v>21</v>
      </c>
      <c r="F287" s="1"/>
      <c r="G287" s="30">
        <v>45969.322581018518</v>
      </c>
      <c r="H287" s="1" t="s">
        <v>22</v>
      </c>
      <c r="I287">
        <v>197470</v>
      </c>
      <c r="J287" s="1" t="s">
        <v>58</v>
      </c>
      <c r="K287" s="28">
        <v>45972</v>
      </c>
      <c r="M287" s="28">
        <v>45972</v>
      </c>
      <c r="O287" s="24"/>
      <c r="P287" s="24">
        <f>Table1[[#This Row],[Цена за 1 бр. в BGN]]*Table1[[#This Row],[Поръчано Количество]]</f>
        <v>0</v>
      </c>
      <c r="S287" t="str" cm="1">
        <f t="array" ref="S287">_xlfn.SWITCH(T287,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87" s="6" t="s">
        <v>434</v>
      </c>
    </row>
    <row r="288" spans="1:20">
      <c r="A288" t="s">
        <v>452</v>
      </c>
      <c r="B288">
        <v>100</v>
      </c>
      <c r="C288">
        <v>100</v>
      </c>
      <c r="D288" s="28">
        <v>45972</v>
      </c>
      <c r="E288" t="s">
        <v>21</v>
      </c>
      <c r="F288" s="1"/>
      <c r="G288" s="30">
        <v>45969.323020833333</v>
      </c>
      <c r="H288" s="1" t="s">
        <v>22</v>
      </c>
      <c r="I288">
        <v>197470</v>
      </c>
      <c r="J288" s="1" t="s">
        <v>58</v>
      </c>
      <c r="K288" s="28">
        <v>45972</v>
      </c>
      <c r="M288" s="28">
        <v>45972</v>
      </c>
      <c r="O288" s="24"/>
      <c r="P288" s="24">
        <f>Table1[[#This Row],[Цена за 1 бр. в BGN]]*Table1[[#This Row],[Поръчано Количество]]</f>
        <v>0</v>
      </c>
      <c r="S288" t="str" cm="1">
        <f t="array" ref="S288">_xlfn.SWITCH(T288,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88" s="6" t="s">
        <v>434</v>
      </c>
    </row>
    <row r="289" spans="1:20">
      <c r="A289" t="s">
        <v>453</v>
      </c>
      <c r="B289">
        <v>5</v>
      </c>
      <c r="C289">
        <v>5</v>
      </c>
      <c r="D289" s="28">
        <v>45980</v>
      </c>
      <c r="E289" t="s">
        <v>63</v>
      </c>
      <c r="F289" s="1"/>
      <c r="G289" s="30">
        <v>45969.329965277779</v>
      </c>
      <c r="H289" s="1" t="s">
        <v>22</v>
      </c>
      <c r="I289">
        <v>197470</v>
      </c>
      <c r="J289" s="1" t="s">
        <v>58</v>
      </c>
      <c r="K289" s="28">
        <v>45972</v>
      </c>
      <c r="M289" s="28">
        <v>45972</v>
      </c>
      <c r="O289" s="24"/>
      <c r="P289" s="24">
        <f>Table1[[#This Row],[Цена за 1 бр. в BGN]]*Table1[[#This Row],[Поръчано Количество]]</f>
        <v>0</v>
      </c>
      <c r="S289" t="str" cm="1">
        <f t="array" ref="S289">_xlfn.SWITCH(T289,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89" s="6" t="s">
        <v>434</v>
      </c>
    </row>
    <row r="290" spans="1:20">
      <c r="A290" t="s">
        <v>454</v>
      </c>
      <c r="B290">
        <v>5</v>
      </c>
      <c r="C290">
        <v>5</v>
      </c>
      <c r="D290" s="28">
        <v>45973</v>
      </c>
      <c r="E290" t="s">
        <v>63</v>
      </c>
      <c r="F290" s="1"/>
      <c r="G290" s="30">
        <v>45969.338125000002</v>
      </c>
      <c r="H290" s="1" t="s">
        <v>22</v>
      </c>
      <c r="I290">
        <v>197470</v>
      </c>
      <c r="J290" s="1" t="s">
        <v>58</v>
      </c>
      <c r="K290" s="28">
        <v>45972</v>
      </c>
      <c r="M290" s="28">
        <v>45972</v>
      </c>
      <c r="O290" s="24"/>
      <c r="P290" s="24">
        <f>Table1[[#This Row],[Цена за 1 бр. в BGN]]*Table1[[#This Row],[Поръчано Количество]]</f>
        <v>0</v>
      </c>
      <c r="S290" t="str" cm="1">
        <f t="array" ref="S290">_xlfn.SWITCH(T290,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90" s="6" t="s">
        <v>434</v>
      </c>
    </row>
    <row r="291" spans="1:20">
      <c r="A291" t="s">
        <v>455</v>
      </c>
      <c r="B291">
        <v>5</v>
      </c>
      <c r="C291">
        <v>5</v>
      </c>
      <c r="D291" s="28">
        <v>45973</v>
      </c>
      <c r="E291" t="s">
        <v>63</v>
      </c>
      <c r="F291" s="1"/>
      <c r="G291" s="30">
        <v>45969.338321759256</v>
      </c>
      <c r="H291" s="1" t="s">
        <v>22</v>
      </c>
      <c r="I291">
        <v>197470</v>
      </c>
      <c r="J291" s="1" t="s">
        <v>58</v>
      </c>
      <c r="K291" s="28">
        <v>45972</v>
      </c>
      <c r="M291" s="28">
        <v>45972</v>
      </c>
      <c r="O291" s="24"/>
      <c r="P291" s="24">
        <f>Table1[[#This Row],[Цена за 1 бр. в BGN]]*Table1[[#This Row],[Поръчано Количество]]</f>
        <v>0</v>
      </c>
      <c r="S291" t="str" cm="1">
        <f t="array" ref="S291">_xlfn.SWITCH(T291,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91" s="6" t="s">
        <v>434</v>
      </c>
    </row>
    <row r="292" spans="1:20">
      <c r="A292" t="s">
        <v>456</v>
      </c>
      <c r="B292">
        <v>6</v>
      </c>
      <c r="C292">
        <v>6</v>
      </c>
      <c r="D292" s="28">
        <v>45973</v>
      </c>
      <c r="E292" t="s">
        <v>63</v>
      </c>
      <c r="F292" s="1"/>
      <c r="G292" s="30">
        <v>45969.339155092595</v>
      </c>
      <c r="H292" s="1" t="s">
        <v>22</v>
      </c>
      <c r="I292">
        <v>197470</v>
      </c>
      <c r="J292" s="1" t="s">
        <v>58</v>
      </c>
      <c r="K292" s="28">
        <v>45972</v>
      </c>
      <c r="M292" s="28">
        <v>45972</v>
      </c>
      <c r="O292" s="24"/>
      <c r="P292" s="24">
        <f>Table1[[#This Row],[Цена за 1 бр. в BGN]]*Table1[[#This Row],[Поръчано Количество]]</f>
        <v>0</v>
      </c>
      <c r="S292" t="str" cm="1">
        <f t="array" ref="S292">_xlfn.SWITCH(T292,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92" s="6" t="s">
        <v>434</v>
      </c>
    </row>
    <row r="293" spans="1:20">
      <c r="A293" t="s">
        <v>457</v>
      </c>
      <c r="B293">
        <v>6</v>
      </c>
      <c r="C293">
        <v>6</v>
      </c>
      <c r="D293" s="28">
        <v>45973</v>
      </c>
      <c r="E293" t="s">
        <v>63</v>
      </c>
      <c r="F293" s="1"/>
      <c r="G293" s="30">
        <v>45969.339375000003</v>
      </c>
      <c r="H293" s="1" t="s">
        <v>22</v>
      </c>
      <c r="I293">
        <v>197470</v>
      </c>
      <c r="J293" s="1" t="s">
        <v>58</v>
      </c>
      <c r="K293" s="28">
        <v>45972</v>
      </c>
      <c r="M293" s="28">
        <v>45972</v>
      </c>
      <c r="O293" s="24"/>
      <c r="P293" s="24">
        <f>Table1[[#This Row],[Цена за 1 бр. в BGN]]*Table1[[#This Row],[Поръчано Количество]]</f>
        <v>0</v>
      </c>
      <c r="S293" t="str" cm="1">
        <f t="array" ref="S293">_xlfn.SWITCH(T293,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93" s="6" t="s">
        <v>434</v>
      </c>
    </row>
    <row r="294" spans="1:20">
      <c r="A294" t="s">
        <v>458</v>
      </c>
      <c r="B294">
        <v>2</v>
      </c>
      <c r="C294">
        <v>2</v>
      </c>
      <c r="D294" s="28">
        <v>45975</v>
      </c>
      <c r="E294" t="s">
        <v>63</v>
      </c>
      <c r="F294" s="1"/>
      <c r="G294" s="30">
        <v>45969.341134259259</v>
      </c>
      <c r="H294" s="1" t="s">
        <v>22</v>
      </c>
      <c r="I294">
        <v>197470</v>
      </c>
      <c r="J294" s="1" t="s">
        <v>58</v>
      </c>
      <c r="K294" s="28">
        <v>45972</v>
      </c>
      <c r="M294" s="28">
        <v>45972</v>
      </c>
      <c r="O294" s="24"/>
      <c r="P294" s="24">
        <f>Table1[[#This Row],[Цена за 1 бр. в BGN]]*Table1[[#This Row],[Поръчано Количество]]</f>
        <v>0</v>
      </c>
      <c r="S294" t="str" cm="1">
        <f t="array" ref="S294">_xlfn.SWITCH(T294,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94" s="6" t="s">
        <v>434</v>
      </c>
    </row>
    <row r="295" spans="1:20">
      <c r="A295" t="s">
        <v>459</v>
      </c>
      <c r="B295">
        <v>2</v>
      </c>
      <c r="C295">
        <v>4</v>
      </c>
      <c r="D295" s="28">
        <v>45973</v>
      </c>
      <c r="E295" t="s">
        <v>63</v>
      </c>
      <c r="F295" s="1"/>
      <c r="G295" s="30">
        <v>45969.34171296296</v>
      </c>
      <c r="H295" s="1" t="s">
        <v>22</v>
      </c>
      <c r="I295">
        <v>197470</v>
      </c>
      <c r="J295" s="1" t="s">
        <v>58</v>
      </c>
      <c r="K295" s="28">
        <v>45972</v>
      </c>
      <c r="M295" s="28">
        <v>45972</v>
      </c>
      <c r="O295" s="24"/>
      <c r="P295" s="24">
        <f>Table1[[#This Row],[Цена за 1 бр. в BGN]]*Table1[[#This Row],[Поръчано Количество]]</f>
        <v>0</v>
      </c>
      <c r="S295" t="str" cm="1">
        <f t="array" ref="S295">_xlfn.SWITCH(T295,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95" s="6" t="s">
        <v>434</v>
      </c>
    </row>
    <row r="296" spans="1:20" ht="30">
      <c r="A296" t="s">
        <v>460</v>
      </c>
      <c r="B296">
        <v>1</v>
      </c>
      <c r="C296">
        <v>1</v>
      </c>
      <c r="D296" s="28">
        <v>45979</v>
      </c>
      <c r="E296" t="s">
        <v>34</v>
      </c>
      <c r="F296" s="1"/>
      <c r="G296" s="30">
        <v>45978.3671412037</v>
      </c>
      <c r="H296" s="1" t="s">
        <v>42</v>
      </c>
      <c r="J296" s="1"/>
      <c r="K296" s="28"/>
      <c r="M296" s="28"/>
      <c r="O296" s="24"/>
      <c r="P296" s="24">
        <f>Table1[[#This Row],[Цена за 1 бр. в BGN]]*Table1[[#This Row],[Поръчано Количество]]</f>
        <v>0</v>
      </c>
      <c r="S296" t="str" cm="1">
        <f t="array" ref="S296">_xlfn.SWITCH(T296,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T296" s="6" t="s">
        <v>461</v>
      </c>
    </row>
    <row r="297" spans="1:20">
      <c r="A297" t="s">
        <v>462</v>
      </c>
      <c r="B297">
        <v>1</v>
      </c>
      <c r="C297">
        <v>1</v>
      </c>
      <c r="D297" s="28">
        <v>45979</v>
      </c>
      <c r="E297" t="s">
        <v>34</v>
      </c>
      <c r="F297" s="1"/>
      <c r="G297" s="30">
        <v>45978.368958333333</v>
      </c>
      <c r="H297" s="1" t="s">
        <v>22</v>
      </c>
      <c r="I297">
        <v>33540358</v>
      </c>
      <c r="J297" s="1" t="s">
        <v>84</v>
      </c>
      <c r="K297" s="28">
        <v>45980</v>
      </c>
      <c r="L297" t="s">
        <v>463</v>
      </c>
      <c r="M297" s="28"/>
      <c r="N297">
        <v>1</v>
      </c>
      <c r="O297" s="24">
        <f>290.73*1.95583</f>
        <v>568.61845590000007</v>
      </c>
      <c r="P297" s="24">
        <f>Table1[[#This Row],[Цена за 1 бр. в BGN]]*Table1[[#This Row],[Поръчано Количество]]</f>
        <v>568.61845590000007</v>
      </c>
      <c r="S297" t="str" cm="1">
        <f t="array" ref="S297">_xlfn.SWITCH(T297,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T297" s="6" t="s">
        <v>461</v>
      </c>
    </row>
    <row r="298" spans="1:20">
      <c r="A298" t="s">
        <v>464</v>
      </c>
      <c r="B298">
        <v>20</v>
      </c>
      <c r="C298">
        <v>20</v>
      </c>
      <c r="D298" s="28">
        <v>45981</v>
      </c>
      <c r="E298" t="s">
        <v>21</v>
      </c>
      <c r="F298" s="1"/>
      <c r="G298" s="30">
        <v>45978.500011574077</v>
      </c>
      <c r="H298" s="1" t="s">
        <v>22</v>
      </c>
      <c r="I298" t="s">
        <v>465</v>
      </c>
      <c r="J298" s="1" t="s">
        <v>466</v>
      </c>
      <c r="K298" s="28">
        <v>45981</v>
      </c>
      <c r="M298" s="28">
        <v>45981</v>
      </c>
      <c r="N298">
        <v>16</v>
      </c>
      <c r="O298" s="24">
        <v>10</v>
      </c>
      <c r="P298" s="24">
        <f>Table1[[#This Row],[Цена за 1 бр. в BGN]]*Table1[[#This Row],[Поръчано Количество]]</f>
        <v>200</v>
      </c>
      <c r="S298" t="str" cm="1">
        <f t="array" ref="S298">_xlfn.SWITCH(T298,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298" s="6" t="s">
        <v>434</v>
      </c>
    </row>
    <row r="299" spans="1:20">
      <c r="A299" t="s">
        <v>467</v>
      </c>
      <c r="B299">
        <v>2</v>
      </c>
      <c r="C299">
        <v>2</v>
      </c>
      <c r="D299" s="28">
        <v>45982</v>
      </c>
      <c r="E299" t="s">
        <v>34</v>
      </c>
      <c r="F299" s="1"/>
      <c r="G299" s="30">
        <v>45979.4219212963</v>
      </c>
      <c r="H299" s="1" t="s">
        <v>235</v>
      </c>
      <c r="I299" t="s">
        <v>468</v>
      </c>
      <c r="J299" s="1" t="s">
        <v>48</v>
      </c>
      <c r="K299" s="28">
        <v>45982</v>
      </c>
      <c r="M299" s="28"/>
      <c r="O299" s="24">
        <v>33.94</v>
      </c>
      <c r="P299" s="24">
        <f>Table1[[#This Row],[Цена за 1 бр. в BGN]]*Table1[[#This Row],[Поръчано Количество]]</f>
        <v>67.88</v>
      </c>
      <c r="S299" t="str" cm="1">
        <f t="array" ref="S299">_xlfn.SWITCH(T299,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T299" s="6" t="s">
        <v>461</v>
      </c>
    </row>
    <row r="300" spans="1:20">
      <c r="A300" t="s">
        <v>469</v>
      </c>
      <c r="B300">
        <v>2</v>
      </c>
      <c r="C300">
        <v>2</v>
      </c>
      <c r="D300" s="28">
        <v>45982</v>
      </c>
      <c r="E300" t="s">
        <v>34</v>
      </c>
      <c r="F300" s="1"/>
      <c r="G300" s="30">
        <v>45979.422164351854</v>
      </c>
      <c r="H300" s="1" t="s">
        <v>235</v>
      </c>
      <c r="I300" t="s">
        <v>468</v>
      </c>
      <c r="J300" s="1" t="s">
        <v>48</v>
      </c>
      <c r="K300" s="28">
        <v>45982</v>
      </c>
      <c r="M300" s="28"/>
      <c r="O300" s="24">
        <v>32.04</v>
      </c>
      <c r="P300" s="24">
        <f>Table1[[#This Row],[Цена за 1 бр. в BGN]]*Table1[[#This Row],[Поръчано Количество]]</f>
        <v>64.08</v>
      </c>
      <c r="S300" t="str" cm="1">
        <f t="array" ref="S300">_xlfn.SWITCH(T300,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T300" s="6" t="s">
        <v>461</v>
      </c>
    </row>
    <row r="301" spans="1:20">
      <c r="A301" t="s">
        <v>470</v>
      </c>
      <c r="B301">
        <v>2</v>
      </c>
      <c r="C301">
        <v>6</v>
      </c>
      <c r="D301" s="28">
        <v>45991</v>
      </c>
      <c r="E301" t="s">
        <v>34</v>
      </c>
      <c r="F301" s="1"/>
      <c r="G301" s="30">
        <v>45979.498738425929</v>
      </c>
      <c r="H301" s="1" t="s">
        <v>22</v>
      </c>
      <c r="I301" t="s">
        <v>471</v>
      </c>
      <c r="J301" s="1" t="s">
        <v>24</v>
      </c>
      <c r="K301" s="28">
        <v>45989</v>
      </c>
      <c r="L301" t="s">
        <v>438</v>
      </c>
      <c r="M301" s="28">
        <v>45988</v>
      </c>
      <c r="N301">
        <v>2</v>
      </c>
      <c r="O301" s="24">
        <v>111.2</v>
      </c>
      <c r="P301" s="24">
        <f>Table1[[#This Row],[Цена за 1 бр. в BGN]]*Table1[[#This Row],[Поръчано Количество]]</f>
        <v>667.2</v>
      </c>
      <c r="Q301" t="s">
        <v>472</v>
      </c>
      <c r="S301" t="str" cm="1">
        <f t="array" ref="S301">_xlfn.SWITCH(T301,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T301" s="6" t="s">
        <v>461</v>
      </c>
    </row>
    <row r="302" spans="1:20">
      <c r="A302" t="s">
        <v>473</v>
      </c>
      <c r="B302">
        <v>2</v>
      </c>
      <c r="C302">
        <v>6</v>
      </c>
      <c r="D302" s="28">
        <v>45991</v>
      </c>
      <c r="E302" t="s">
        <v>34</v>
      </c>
      <c r="F302" s="1"/>
      <c r="G302" s="30">
        <v>45979.498969907407</v>
      </c>
      <c r="H302" s="1" t="s">
        <v>22</v>
      </c>
      <c r="I302" t="s">
        <v>471</v>
      </c>
      <c r="J302" s="1" t="s">
        <v>24</v>
      </c>
      <c r="K302" s="28">
        <v>45989</v>
      </c>
      <c r="L302" t="s">
        <v>438</v>
      </c>
      <c r="M302" s="28">
        <v>45988</v>
      </c>
      <c r="N302">
        <v>2</v>
      </c>
      <c r="O302" s="24">
        <v>126.14</v>
      </c>
      <c r="P302" s="24">
        <f>Table1[[#This Row],[Цена за 1 бр. в BGN]]*Table1[[#This Row],[Поръчано Количество]]</f>
        <v>756.84</v>
      </c>
      <c r="Q302" t="s">
        <v>472</v>
      </c>
      <c r="S302" t="str" cm="1">
        <f t="array" ref="S302">_xlfn.SWITCH(T302,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T302" s="6" t="s">
        <v>461</v>
      </c>
    </row>
    <row r="303" spans="1:20">
      <c r="A303" t="s">
        <v>474</v>
      </c>
      <c r="B303">
        <v>2</v>
      </c>
      <c r="C303">
        <v>6</v>
      </c>
      <c r="D303" s="28">
        <v>45991</v>
      </c>
      <c r="E303" t="s">
        <v>34</v>
      </c>
      <c r="F303" s="1"/>
      <c r="G303" s="30">
        <v>45979.499120370368</v>
      </c>
      <c r="H303" s="1" t="s">
        <v>22</v>
      </c>
      <c r="I303" t="s">
        <v>471</v>
      </c>
      <c r="J303" s="1" t="s">
        <v>24</v>
      </c>
      <c r="K303" s="28">
        <v>45989</v>
      </c>
      <c r="L303" t="s">
        <v>438</v>
      </c>
      <c r="M303" s="28">
        <v>45988</v>
      </c>
      <c r="N303">
        <v>6</v>
      </c>
      <c r="O303" s="24">
        <v>106.97</v>
      </c>
      <c r="P303" s="24">
        <f>Table1[[#This Row],[Цена за 1 бр. в BGN]]*Table1[[#This Row],[Поръчано Количество]]</f>
        <v>641.81999999999994</v>
      </c>
      <c r="Q303" t="s">
        <v>472</v>
      </c>
      <c r="S303" t="str" cm="1">
        <f t="array" ref="S303">_xlfn.SWITCH(T303,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T303" s="6" t="s">
        <v>461</v>
      </c>
    </row>
    <row r="304" spans="1:20">
      <c r="A304" t="s">
        <v>387</v>
      </c>
      <c r="B304">
        <v>1</v>
      </c>
      <c r="C304">
        <v>1</v>
      </c>
      <c r="D304" s="28">
        <v>46003</v>
      </c>
      <c r="E304" t="s">
        <v>34</v>
      </c>
      <c r="F304" s="1"/>
      <c r="G304" s="30">
        <v>45980.238020833334</v>
      </c>
      <c r="H304" s="1" t="s">
        <v>235</v>
      </c>
      <c r="I304" t="s">
        <v>475</v>
      </c>
      <c r="J304" s="1" t="s">
        <v>31</v>
      </c>
      <c r="K304" s="28"/>
      <c r="M304" s="28"/>
      <c r="O304" s="24"/>
      <c r="P304" s="24">
        <f>Table1[[#This Row],[Цена за 1 бр. в BGN]]*Table1[[#This Row],[Поръчано Количество]]</f>
        <v>0</v>
      </c>
      <c r="S304" t="str" cm="1">
        <f t="array" ref="S304">_xlfn.SWITCH(T304,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T304" s="6" t="s">
        <v>461</v>
      </c>
    </row>
    <row r="305" spans="1:20">
      <c r="A305" t="s">
        <v>476</v>
      </c>
      <c r="B305">
        <v>3</v>
      </c>
      <c r="C305">
        <v>3</v>
      </c>
      <c r="D305" s="28">
        <v>45985</v>
      </c>
      <c r="E305" t="s">
        <v>21</v>
      </c>
      <c r="F305" s="1"/>
      <c r="G305" s="30">
        <v>45981.370393518519</v>
      </c>
      <c r="H305" s="1" t="s">
        <v>235</v>
      </c>
      <c r="I305" t="s">
        <v>437</v>
      </c>
      <c r="J305" s="1" t="s">
        <v>24</v>
      </c>
      <c r="K305" s="28">
        <v>45995</v>
      </c>
      <c r="M305" s="28"/>
      <c r="O305" s="24">
        <v>61.9</v>
      </c>
      <c r="P305" s="24">
        <f>Table1[[#This Row],[Цена за 1 бр. в BGN]]*Table1[[#This Row],[Поръчано Количество]]</f>
        <v>185.7</v>
      </c>
      <c r="S305" t="str" cm="1">
        <f t="array" ref="S305">_xlfn.SWITCH(T305,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05" s="6" t="s">
        <v>434</v>
      </c>
    </row>
    <row r="306" spans="1:20" ht="45">
      <c r="A306" t="s">
        <v>477</v>
      </c>
      <c r="B306">
        <v>3</v>
      </c>
      <c r="D306" s="28">
        <v>46009</v>
      </c>
      <c r="E306" t="s">
        <v>87</v>
      </c>
      <c r="F306" s="1" t="s">
        <v>478</v>
      </c>
      <c r="G306" s="30">
        <v>45981.436053240737</v>
      </c>
      <c r="H306" s="1" t="s">
        <v>42</v>
      </c>
      <c r="I306" t="s">
        <v>479</v>
      </c>
      <c r="J306" s="1" t="s">
        <v>128</v>
      </c>
      <c r="K306" s="28"/>
      <c r="M306" s="28"/>
      <c r="O306" s="24"/>
      <c r="P306" s="24">
        <f>Table1[[#This Row],[Цена за 1 бр. в BGN]]*Table1[[#This Row],[Поръчано Количество]]</f>
        <v>0</v>
      </c>
      <c r="S306" t="str" cm="1">
        <f t="array" ref="S306">_xlfn.SWITCH(T306,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06" s="6" t="s">
        <v>434</v>
      </c>
    </row>
    <row r="307" spans="1:20">
      <c r="A307" t="s">
        <v>480</v>
      </c>
      <c r="B307">
        <v>4</v>
      </c>
      <c r="C307">
        <v>4</v>
      </c>
      <c r="D307" s="28">
        <v>45988</v>
      </c>
      <c r="E307" t="s">
        <v>21</v>
      </c>
      <c r="F307" s="1"/>
      <c r="G307" s="30">
        <v>45981.4455787037</v>
      </c>
      <c r="H307" s="1" t="s">
        <v>22</v>
      </c>
      <c r="I307" t="s">
        <v>437</v>
      </c>
      <c r="J307" s="1" t="s">
        <v>24</v>
      </c>
      <c r="K307" s="28">
        <v>45995</v>
      </c>
      <c r="M307" s="28"/>
      <c r="O307" s="24">
        <v>46.75</v>
      </c>
      <c r="P307" s="24">
        <f>Table1[[#This Row],[Цена за 1 бр. в BGN]]*Table1[[#This Row],[Поръчано Количество]]</f>
        <v>187</v>
      </c>
      <c r="S307" t="str" cm="1">
        <f t="array" ref="S307">_xlfn.SWITCH(T307,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07" s="6" t="s">
        <v>434</v>
      </c>
    </row>
    <row r="308" spans="1:20">
      <c r="A308" t="s">
        <v>481</v>
      </c>
      <c r="B308">
        <v>6</v>
      </c>
      <c r="C308">
        <v>6</v>
      </c>
      <c r="D308" s="28">
        <v>46003</v>
      </c>
      <c r="E308" t="s">
        <v>21</v>
      </c>
      <c r="F308" s="1"/>
      <c r="G308" s="30">
        <v>45981.456180555557</v>
      </c>
      <c r="H308" s="1" t="s">
        <v>22</v>
      </c>
      <c r="I308" t="s">
        <v>437</v>
      </c>
      <c r="J308" s="1" t="s">
        <v>24</v>
      </c>
      <c r="K308" s="28">
        <v>45989</v>
      </c>
      <c r="L308" t="s">
        <v>438</v>
      </c>
      <c r="M308" s="28">
        <v>45988</v>
      </c>
      <c r="N308">
        <v>1</v>
      </c>
      <c r="O308" s="24">
        <v>84.35</v>
      </c>
      <c r="P308" s="24">
        <f>Table1[[#This Row],[Цена за 1 бр. в BGN]]*Table1[[#This Row],[Поръчано Количество]]</f>
        <v>506.09999999999997</v>
      </c>
      <c r="Q308" t="s">
        <v>439</v>
      </c>
      <c r="S308" t="str" cm="1">
        <f t="array" ref="S308">_xlfn.SWITCH(T308,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08" s="6" t="s">
        <v>434</v>
      </c>
    </row>
    <row r="309" spans="1:20">
      <c r="A309" t="s">
        <v>482</v>
      </c>
      <c r="B309">
        <v>4</v>
      </c>
      <c r="C309">
        <v>4</v>
      </c>
      <c r="D309" s="28">
        <v>45995</v>
      </c>
      <c r="E309" t="s">
        <v>21</v>
      </c>
      <c r="F309" s="1"/>
      <c r="G309" s="30">
        <v>45985.27138888889</v>
      </c>
      <c r="H309" s="1" t="s">
        <v>22</v>
      </c>
      <c r="I309" t="s">
        <v>437</v>
      </c>
      <c r="J309" s="1" t="s">
        <v>24</v>
      </c>
      <c r="K309" s="28">
        <v>45989</v>
      </c>
      <c r="L309" t="s">
        <v>438</v>
      </c>
      <c r="M309" s="28">
        <v>45988</v>
      </c>
      <c r="N309">
        <v>2</v>
      </c>
      <c r="O309" s="24">
        <v>28.5</v>
      </c>
      <c r="P309" s="24">
        <f>Table1[[#This Row],[Цена за 1 бр. в BGN]]*Table1[[#This Row],[Поръчано Количество]]</f>
        <v>114</v>
      </c>
      <c r="Q309" t="s">
        <v>439</v>
      </c>
      <c r="S309" t="str" cm="1">
        <f t="array" ref="S309">_xlfn.SWITCH(T309,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09" s="6" t="s">
        <v>434</v>
      </c>
    </row>
    <row r="310" spans="1:20">
      <c r="A310" t="s">
        <v>483</v>
      </c>
      <c r="B310">
        <v>4</v>
      </c>
      <c r="C310">
        <v>4</v>
      </c>
      <c r="D310" s="28">
        <v>45988</v>
      </c>
      <c r="E310" t="s">
        <v>92</v>
      </c>
      <c r="F310" s="1"/>
      <c r="G310" s="30">
        <v>45985.271793981483</v>
      </c>
      <c r="H310" s="1" t="s">
        <v>22</v>
      </c>
      <c r="I310" s="38">
        <v>202085</v>
      </c>
      <c r="J310" s="1" t="s">
        <v>58</v>
      </c>
      <c r="K310" s="28">
        <v>46002</v>
      </c>
      <c r="M310" s="28"/>
      <c r="O310" s="24"/>
      <c r="P310" s="24">
        <f>Table1[[#This Row],[Цена за 1 бр. в BGN]]*Table1[[#This Row],[Поръчано Количество]]</f>
        <v>0</v>
      </c>
      <c r="S310" t="str" cm="1">
        <f t="array" ref="S310">_xlfn.SWITCH(T310,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10" s="6" t="s">
        <v>434</v>
      </c>
    </row>
    <row r="311" spans="1:20">
      <c r="A311" t="s">
        <v>484</v>
      </c>
      <c r="B311">
        <v>1</v>
      </c>
      <c r="D311" s="28">
        <v>45995</v>
      </c>
      <c r="E311" t="s">
        <v>92</v>
      </c>
      <c r="F311" s="1"/>
      <c r="G311" s="30">
        <v>45985.272037037037</v>
      </c>
      <c r="H311" s="1" t="s">
        <v>22</v>
      </c>
      <c r="J311" s="1" t="s">
        <v>221</v>
      </c>
      <c r="K311" s="28"/>
      <c r="M311" s="28"/>
      <c r="O311" s="24"/>
      <c r="P311" s="24">
        <f>Table1[[#This Row],[Цена за 1 бр. в BGN]]*Table1[[#This Row],[Поръчано Количество]]</f>
        <v>0</v>
      </c>
      <c r="S311" t="str" cm="1">
        <f t="array" ref="S311">_xlfn.SWITCH(T311,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11" s="6" t="s">
        <v>434</v>
      </c>
    </row>
    <row r="312" spans="1:20" ht="30">
      <c r="A312" s="1" t="s">
        <v>485</v>
      </c>
      <c r="B312">
        <v>10</v>
      </c>
      <c r="D312" s="28">
        <v>45989</v>
      </c>
      <c r="E312" t="s">
        <v>21</v>
      </c>
      <c r="F312" s="1"/>
      <c r="G312" s="30">
        <v>45985.366469907407</v>
      </c>
      <c r="H312" s="1" t="s">
        <v>22</v>
      </c>
      <c r="J312" s="1"/>
      <c r="K312" s="28"/>
      <c r="M312" s="28"/>
      <c r="O312" s="24"/>
      <c r="P312" s="24">
        <f>Table1[[#This Row],[Цена за 1 бр. в BGN]]*Table1[[#This Row],[Поръчано Количество]]</f>
        <v>0</v>
      </c>
      <c r="S312" t="str" cm="1">
        <f t="array" ref="S312">_xlfn.SWITCH(T312,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12" s="6" t="s">
        <v>434</v>
      </c>
    </row>
    <row r="313" spans="1:20">
      <c r="A313" t="s">
        <v>486</v>
      </c>
      <c r="B313">
        <v>2</v>
      </c>
      <c r="C313">
        <v>2</v>
      </c>
      <c r="D313" s="28">
        <v>45995</v>
      </c>
      <c r="E313" t="s">
        <v>63</v>
      </c>
      <c r="F313" s="1"/>
      <c r="G313" s="30">
        <v>45985.368344907409</v>
      </c>
      <c r="H313" s="1" t="s">
        <v>22</v>
      </c>
      <c r="I313" s="38">
        <v>202085</v>
      </c>
      <c r="J313" s="1" t="s">
        <v>58</v>
      </c>
      <c r="K313" s="28"/>
      <c r="M313" s="28"/>
      <c r="O313" s="24"/>
      <c r="P313" s="24">
        <f>Table1[[#This Row],[Цена за 1 бр. в BGN]]*Table1[[#This Row],[Поръчано Количество]]</f>
        <v>0</v>
      </c>
      <c r="S313" t="str" cm="1">
        <f t="array" ref="S313">_xlfn.SWITCH(T313,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13" s="6" t="s">
        <v>434</v>
      </c>
    </row>
    <row r="314" spans="1:20">
      <c r="A314" t="s">
        <v>487</v>
      </c>
      <c r="B314">
        <v>2</v>
      </c>
      <c r="D314" s="28">
        <v>45995</v>
      </c>
      <c r="E314" t="s">
        <v>21</v>
      </c>
      <c r="F314" s="1"/>
      <c r="G314" s="30">
        <v>45986.279733796298</v>
      </c>
      <c r="H314" s="1"/>
      <c r="J314" s="1" t="s">
        <v>48</v>
      </c>
      <c r="K314" s="28"/>
      <c r="M314" s="28"/>
      <c r="O314" s="24"/>
      <c r="P314" s="24">
        <f>Table1[[#This Row],[Цена за 1 бр. в BGN]]*Table1[[#This Row],[Поръчано Количество]]</f>
        <v>0</v>
      </c>
      <c r="S314" t="str" cm="1">
        <f t="array" ref="S314">_xlfn.SWITCH(T314,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14" s="6" t="s">
        <v>434</v>
      </c>
    </row>
    <row r="315" spans="1:20" ht="45">
      <c r="A315" t="s">
        <v>488</v>
      </c>
      <c r="B315">
        <v>2</v>
      </c>
      <c r="D315" s="28">
        <v>46008</v>
      </c>
      <c r="E315" t="s">
        <v>87</v>
      </c>
      <c r="F315" s="1">
        <v>35081731213</v>
      </c>
      <c r="G315" s="30">
        <v>45986.462777777779</v>
      </c>
      <c r="H315" s="1"/>
      <c r="J315" s="1" t="s">
        <v>128</v>
      </c>
      <c r="K315" s="28"/>
      <c r="M315" s="28"/>
      <c r="O315" s="24"/>
      <c r="P315" s="24">
        <f>Table1[[#This Row],[Цена за 1 бр. в BGN]]*Table1[[#This Row],[Поръчано Количество]]</f>
        <v>0</v>
      </c>
      <c r="S315" t="str" cm="1">
        <f t="array" ref="S315">_xlfn.SWITCH(T315,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15" s="6" t="s">
        <v>434</v>
      </c>
    </row>
    <row r="316" spans="1:20" ht="45">
      <c r="A316" t="s">
        <v>489</v>
      </c>
      <c r="B316">
        <v>2</v>
      </c>
      <c r="D316" s="28">
        <v>46008</v>
      </c>
      <c r="E316" t="s">
        <v>87</v>
      </c>
      <c r="F316" s="1">
        <v>35081731308</v>
      </c>
      <c r="G316" s="30">
        <v>45986.463842592595</v>
      </c>
      <c r="H316" s="1"/>
      <c r="J316" s="1" t="s">
        <v>128</v>
      </c>
      <c r="K316" s="28"/>
      <c r="M316" s="28"/>
      <c r="O316" s="24"/>
      <c r="P316" s="24">
        <f>Table1[[#This Row],[Цена за 1 бр. в BGN]]*Table1[[#This Row],[Поръчано Количество]]</f>
        <v>0</v>
      </c>
      <c r="S316" t="str" cm="1">
        <f t="array" ref="S316">_xlfn.SWITCH(T316,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16" s="6" t="s">
        <v>434</v>
      </c>
    </row>
    <row r="317" spans="1:20" ht="45">
      <c r="A317" t="s">
        <v>490</v>
      </c>
      <c r="B317">
        <v>2</v>
      </c>
      <c r="D317" s="28">
        <v>46008</v>
      </c>
      <c r="E317" t="s">
        <v>87</v>
      </c>
      <c r="F317" s="1">
        <v>991300150009</v>
      </c>
      <c r="G317" s="30">
        <v>45986.46466435185</v>
      </c>
      <c r="H317" s="1"/>
      <c r="J317" s="1" t="s">
        <v>128</v>
      </c>
      <c r="K317" s="28"/>
      <c r="M317" s="28"/>
      <c r="O317" s="24"/>
      <c r="P317" s="24">
        <f>Table1[[#This Row],[Цена за 1 бр. в BGN]]*Table1[[#This Row],[Поръчано Количество]]</f>
        <v>0</v>
      </c>
      <c r="S317" t="str" cm="1">
        <f t="array" ref="S317">_xlfn.SWITCH(T317,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17" s="6" t="s">
        <v>434</v>
      </c>
    </row>
    <row r="318" spans="1:20" ht="30">
      <c r="A318" t="s">
        <v>491</v>
      </c>
      <c r="B318">
        <v>6</v>
      </c>
      <c r="D318" s="28">
        <v>46009</v>
      </c>
      <c r="E318" t="s">
        <v>21</v>
      </c>
      <c r="F318" s="1"/>
      <c r="G318" s="30">
        <v>45986.491932870369</v>
      </c>
      <c r="H318" s="1"/>
      <c r="J318" s="1" t="s">
        <v>295</v>
      </c>
      <c r="K318" s="28"/>
      <c r="M318" s="28"/>
      <c r="O318" s="24"/>
      <c r="P318" s="24">
        <f>Table1[[#This Row],[Цена за 1 бр. в BGN]]*Table1[[#This Row],[Поръчано Количество]]</f>
        <v>0</v>
      </c>
      <c r="S318" t="str" cm="1">
        <f t="array" ref="S318">_xlfn.SWITCH(T318,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18" s="6" t="s">
        <v>434</v>
      </c>
    </row>
    <row r="319" spans="1:20" ht="30">
      <c r="A319" t="s">
        <v>492</v>
      </c>
      <c r="B319">
        <v>6</v>
      </c>
      <c r="D319" s="28">
        <v>46008</v>
      </c>
      <c r="E319" t="s">
        <v>21</v>
      </c>
      <c r="F319" s="1"/>
      <c r="G319" s="30">
        <v>45986.492407407408</v>
      </c>
      <c r="H319" s="1"/>
      <c r="J319" s="1" t="s">
        <v>295</v>
      </c>
      <c r="K319" s="28"/>
      <c r="M319" s="28"/>
      <c r="O319" s="24"/>
      <c r="P319" s="24">
        <f>Table1[[#This Row],[Цена за 1 бр. в BGN]]*Table1[[#This Row],[Поръчано Количество]]</f>
        <v>0</v>
      </c>
      <c r="S319" t="str" cm="1">
        <f t="array" ref="S319">_xlfn.SWITCH(T319,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19" s="6" t="s">
        <v>434</v>
      </c>
    </row>
    <row r="320" spans="1:20">
      <c r="A320" t="s">
        <v>1998</v>
      </c>
      <c r="B320">
        <v>3</v>
      </c>
      <c r="D320" s="28">
        <v>46009</v>
      </c>
      <c r="E320" t="s">
        <v>21</v>
      </c>
      <c r="F320" s="1"/>
      <c r="G320" s="30">
        <v>45986.492708333331</v>
      </c>
      <c r="H320" s="1"/>
      <c r="J320" s="1"/>
      <c r="K320" s="28"/>
      <c r="M320" s="28"/>
      <c r="O320" s="24"/>
      <c r="P320" s="24">
        <f>Table1[[#This Row],[Цена за 1 бр. в BGN]]*Table1[[#This Row],[Поръчано Количество]]</f>
        <v>0</v>
      </c>
      <c r="S320" t="str" cm="1">
        <f t="array" ref="S320">_xlfn.SWITCH(T320,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20" s="6" t="s">
        <v>434</v>
      </c>
    </row>
    <row r="321" spans="1:20" ht="30">
      <c r="A321" t="s">
        <v>493</v>
      </c>
      <c r="B321">
        <v>8</v>
      </c>
      <c r="D321" s="28">
        <v>46009</v>
      </c>
      <c r="E321" t="s">
        <v>21</v>
      </c>
      <c r="F321" s="1"/>
      <c r="G321" s="30">
        <v>45986.49318287037</v>
      </c>
      <c r="H321" s="1"/>
      <c r="J321" s="1" t="s">
        <v>295</v>
      </c>
      <c r="K321" s="28"/>
      <c r="M321" s="28"/>
      <c r="O321" s="24"/>
      <c r="P321" s="24">
        <f>Table1[[#This Row],[Цена за 1 бр. в BGN]]*Table1[[#This Row],[Поръчано Количество]]</f>
        <v>0</v>
      </c>
      <c r="S321" t="str" cm="1">
        <f t="array" ref="S321">_xlfn.SWITCH(T321,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21" s="6" t="s">
        <v>434</v>
      </c>
    </row>
    <row r="322" spans="1:20">
      <c r="A322" t="s">
        <v>494</v>
      </c>
      <c r="B322">
        <v>8</v>
      </c>
      <c r="C322">
        <v>8</v>
      </c>
      <c r="D322" s="28">
        <v>46010</v>
      </c>
      <c r="E322" t="s">
        <v>21</v>
      </c>
      <c r="F322" s="1"/>
      <c r="G322" s="30">
        <v>45995.726134259261</v>
      </c>
      <c r="H322" s="1" t="s">
        <v>22</v>
      </c>
      <c r="I322" t="s">
        <v>495</v>
      </c>
      <c r="J322" s="1" t="s">
        <v>24</v>
      </c>
      <c r="K322" s="28"/>
      <c r="M322" s="28"/>
      <c r="O322" s="24"/>
      <c r="P322" s="24">
        <f>Table1[[#This Row],[Цена за 1 бр. в BGN]]*Table1[[#This Row],[Поръчано Количество]]</f>
        <v>0</v>
      </c>
      <c r="S322" t="str" cm="1">
        <f t="array" ref="S322">_xlfn.SWITCH(T322,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22" s="6" t="s">
        <v>434</v>
      </c>
    </row>
    <row r="323" spans="1:20">
      <c r="A323" t="s">
        <v>496</v>
      </c>
      <c r="B323">
        <v>8</v>
      </c>
      <c r="D323" s="28">
        <v>46010</v>
      </c>
      <c r="E323" t="s">
        <v>21</v>
      </c>
      <c r="F323" s="1"/>
      <c r="G323" s="30">
        <v>45995.726574074077</v>
      </c>
      <c r="H323" s="1" t="s">
        <v>22</v>
      </c>
      <c r="I323" t="s">
        <v>495</v>
      </c>
      <c r="J323" s="1" t="s">
        <v>24</v>
      </c>
      <c r="K323" s="28"/>
      <c r="M323" s="28"/>
      <c r="O323" s="24"/>
      <c r="P323" s="24">
        <f>Table1[[#This Row],[Цена за 1 бр. в BGN]]*Table1[[#This Row],[Поръчано Количество]]</f>
        <v>0</v>
      </c>
      <c r="S323" t="str" cm="1">
        <f t="array" ref="S323">_xlfn.SWITCH(T323,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23" s="6" t="s">
        <v>434</v>
      </c>
    </row>
    <row r="324" spans="1:20">
      <c r="A324" t="s">
        <v>497</v>
      </c>
      <c r="B324">
        <v>8</v>
      </c>
      <c r="C324">
        <v>8</v>
      </c>
      <c r="D324" s="28">
        <v>46010</v>
      </c>
      <c r="E324" t="s">
        <v>21</v>
      </c>
      <c r="F324" s="1"/>
      <c r="G324" s="30">
        <v>45995.727951388886</v>
      </c>
      <c r="H324" s="1" t="s">
        <v>22</v>
      </c>
      <c r="I324" t="s">
        <v>495</v>
      </c>
      <c r="J324" s="1" t="s">
        <v>24</v>
      </c>
      <c r="K324" s="28"/>
      <c r="M324" s="28"/>
      <c r="N324">
        <v>8</v>
      </c>
      <c r="O324" s="24"/>
      <c r="P324" s="24">
        <f>Table1[[#This Row],[Цена за 1 бр. в BGN]]*Table1[[#This Row],[Поръчано Количество]]</f>
        <v>0</v>
      </c>
      <c r="S324" t="str" cm="1">
        <f t="array" ref="S324">_xlfn.SWITCH(T324,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24" s="6" t="s">
        <v>434</v>
      </c>
    </row>
    <row r="325" spans="1:20" ht="30">
      <c r="A325" t="s">
        <v>498</v>
      </c>
      <c r="B325">
        <v>10</v>
      </c>
      <c r="D325" s="28">
        <v>46010</v>
      </c>
      <c r="E325" t="s">
        <v>21</v>
      </c>
      <c r="F325" s="1"/>
      <c r="G325" s="30">
        <v>45999.23741898148</v>
      </c>
      <c r="H325" s="1"/>
      <c r="J325" s="1" t="s">
        <v>46</v>
      </c>
      <c r="K325" s="28"/>
      <c r="M325" s="28"/>
      <c r="O325" s="24"/>
      <c r="P325" s="24">
        <f>Table1[[#This Row],[Цена за 1 бр. в BGN]]*Table1[[#This Row],[Поръчано Количество]]</f>
        <v>0</v>
      </c>
      <c r="S325" t="str" cm="1">
        <f t="array" ref="S325">_xlfn.SWITCH(T325,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25" s="6" t="s">
        <v>434</v>
      </c>
    </row>
    <row r="326" spans="1:20">
      <c r="A326" t="s">
        <v>499</v>
      </c>
      <c r="B326">
        <v>60</v>
      </c>
      <c r="C326">
        <v>200</v>
      </c>
      <c r="D326" s="28">
        <v>46007</v>
      </c>
      <c r="E326" t="s">
        <v>34</v>
      </c>
      <c r="F326" s="1"/>
      <c r="G326" s="30">
        <v>46006.490335648145</v>
      </c>
      <c r="H326" s="1" t="s">
        <v>22</v>
      </c>
      <c r="J326" s="1" t="s">
        <v>58</v>
      </c>
      <c r="K326" s="28"/>
      <c r="M326" s="28"/>
      <c r="O326" s="24"/>
      <c r="P326" s="24">
        <f>Table1[[#This Row],[Цена за 1 бр. в BGN]]*Table1[[#This Row],[Поръчано Количество]]</f>
        <v>0</v>
      </c>
      <c r="S326" t="str" cm="1">
        <f t="array" ref="S326">_xlfn.SWITCH(T326,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T326" s="6" t="s">
        <v>461</v>
      </c>
    </row>
    <row r="327" spans="1:20">
      <c r="A327" t="s">
        <v>500</v>
      </c>
      <c r="B327">
        <v>6</v>
      </c>
      <c r="D327" s="28">
        <v>46052</v>
      </c>
      <c r="E327" t="s">
        <v>21</v>
      </c>
      <c r="F327" s="1"/>
      <c r="G327" s="30">
        <v>46038.797465277778</v>
      </c>
      <c r="H327" s="1" t="s">
        <v>22</v>
      </c>
      <c r="I327" t="s">
        <v>495</v>
      </c>
      <c r="J327" s="1" t="s">
        <v>24</v>
      </c>
      <c r="K327" s="28"/>
      <c r="M327" s="28"/>
      <c r="O327" s="24"/>
      <c r="P327" s="24">
        <f>Table1[[#This Row],[Цена за 1 бр. в BGN]]*Table1[[#This Row],[Поръчано Количество]]</f>
        <v>0</v>
      </c>
      <c r="S327" t="str" cm="1">
        <f t="array" ref="S327">_xlfn.SWITCH(T327,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27" s="6" t="s">
        <v>434</v>
      </c>
    </row>
    <row r="328" spans="1:20">
      <c r="A328" t="s">
        <v>501</v>
      </c>
      <c r="B328">
        <v>10</v>
      </c>
      <c r="C328">
        <v>10</v>
      </c>
      <c r="D328" s="28">
        <v>46052</v>
      </c>
      <c r="E328" t="s">
        <v>21</v>
      </c>
      <c r="F328" s="1"/>
      <c r="G328" s="30">
        <v>46041.28634259259</v>
      </c>
      <c r="H328" s="1" t="s">
        <v>22</v>
      </c>
      <c r="I328" t="s">
        <v>495</v>
      </c>
      <c r="J328" s="1" t="s">
        <v>24</v>
      </c>
      <c r="K328" s="28"/>
      <c r="M328" s="28"/>
      <c r="O328" s="24"/>
      <c r="P328" s="24">
        <f>Table1[[#This Row],[Цена за 1 бр. в BGN]]*Table1[[#This Row],[Поръчано Количество]]</f>
        <v>0</v>
      </c>
      <c r="S328" t="str" cm="1">
        <f t="array" ref="S328">_xlfn.SWITCH(T328,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28" s="6" t="s">
        <v>434</v>
      </c>
    </row>
    <row r="329" spans="1:20">
      <c r="A329" t="s">
        <v>502</v>
      </c>
      <c r="B329">
        <v>10</v>
      </c>
      <c r="C329">
        <v>10</v>
      </c>
      <c r="D329" s="28">
        <v>46052</v>
      </c>
      <c r="E329" t="s">
        <v>21</v>
      </c>
      <c r="F329" s="1"/>
      <c r="G329" s="30">
        <v>46041.286793981482</v>
      </c>
      <c r="H329" s="1" t="s">
        <v>22</v>
      </c>
      <c r="I329" t="s">
        <v>495</v>
      </c>
      <c r="J329" s="1" t="s">
        <v>24</v>
      </c>
      <c r="K329" s="28"/>
      <c r="M329" s="28"/>
      <c r="N329">
        <v>10</v>
      </c>
      <c r="O329" s="24"/>
      <c r="P329" s="24">
        <f>Table1[[#This Row],[Цена за 1 бр. в BGN]]*Table1[[#This Row],[Поръчано Количество]]</f>
        <v>0</v>
      </c>
      <c r="S329" t="str" cm="1">
        <f t="array" ref="S329">_xlfn.SWITCH(T329,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29" s="6" t="s">
        <v>434</v>
      </c>
    </row>
    <row r="330" spans="1:20">
      <c r="A330" t="s">
        <v>503</v>
      </c>
      <c r="B330">
        <v>4</v>
      </c>
      <c r="D330" s="28">
        <v>46052</v>
      </c>
      <c r="E330" t="s">
        <v>21</v>
      </c>
      <c r="F330" s="1"/>
      <c r="G330" s="30">
        <v>46041.288252314815</v>
      </c>
      <c r="H330" s="1" t="s">
        <v>22</v>
      </c>
      <c r="I330" t="s">
        <v>495</v>
      </c>
      <c r="J330" s="1" t="s">
        <v>24</v>
      </c>
      <c r="K330" s="28"/>
      <c r="M330" s="28"/>
      <c r="O330" s="24"/>
      <c r="P330" s="24">
        <f>Table1[[#This Row],[Цена за 1 бр. в BGN]]*Table1[[#This Row],[Поръчано Количество]]</f>
        <v>0</v>
      </c>
      <c r="S330" t="str" cm="1">
        <f t="array" ref="S330">_xlfn.SWITCH(T330,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30" s="6" t="s">
        <v>434</v>
      </c>
    </row>
    <row r="331" spans="1:20">
      <c r="A331" t="s">
        <v>504</v>
      </c>
      <c r="B331">
        <v>8</v>
      </c>
      <c r="D331" s="28">
        <v>46052</v>
      </c>
      <c r="E331" t="s">
        <v>21</v>
      </c>
      <c r="F331" s="1"/>
      <c r="G331" s="30">
        <v>46041.45988425926</v>
      </c>
      <c r="H331" s="1" t="s">
        <v>22</v>
      </c>
      <c r="I331" t="s">
        <v>495</v>
      </c>
      <c r="J331" s="1" t="s">
        <v>24</v>
      </c>
      <c r="K331" s="28"/>
      <c r="M331" s="28"/>
      <c r="O331" s="24"/>
      <c r="P331" s="24">
        <f>Table1[[#This Row],[Цена за 1 бр. в BGN]]*Table1[[#This Row],[Поръчано Количество]]</f>
        <v>0</v>
      </c>
      <c r="S331" t="str" cm="1">
        <f t="array" ref="S331">_xlfn.SWITCH(T331,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31" s="6" t="s">
        <v>434</v>
      </c>
    </row>
    <row r="332" spans="1:20">
      <c r="A332" t="s">
        <v>505</v>
      </c>
      <c r="B332">
        <v>10</v>
      </c>
      <c r="D332" s="28">
        <v>46052</v>
      </c>
      <c r="E332" t="s">
        <v>21</v>
      </c>
      <c r="F332" s="1"/>
      <c r="G332" s="30">
        <v>46041.460324074076</v>
      </c>
      <c r="H332" s="1" t="s">
        <v>22</v>
      </c>
      <c r="I332" t="s">
        <v>495</v>
      </c>
      <c r="J332" s="1" t="s">
        <v>24</v>
      </c>
      <c r="K332" s="28"/>
      <c r="M332" s="28"/>
      <c r="O332" s="24"/>
      <c r="P332" s="24">
        <f>Table1[[#This Row],[Цена за 1 бр. в BGN]]*Table1[[#This Row],[Поръчано Количество]]</f>
        <v>0</v>
      </c>
      <c r="S332" t="str" cm="1">
        <f t="array" ref="S332">_xlfn.SWITCH(T332,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32" s="6" t="s">
        <v>434</v>
      </c>
    </row>
    <row r="333" spans="1:20" ht="30">
      <c r="A333" t="s">
        <v>506</v>
      </c>
      <c r="B333">
        <v>8</v>
      </c>
      <c r="D333" s="28">
        <v>46052</v>
      </c>
      <c r="E333" t="s">
        <v>21</v>
      </c>
      <c r="F333" s="1"/>
      <c r="G333" s="30">
        <v>46041.461111111108</v>
      </c>
      <c r="H333" s="1"/>
      <c r="J333" s="1" t="s">
        <v>46</v>
      </c>
      <c r="K333" s="28"/>
      <c r="M333" s="28"/>
      <c r="O333" s="24"/>
      <c r="P333" s="24">
        <f>Table1[[#This Row],[Цена за 1 бр. в BGN]]*Table1[[#This Row],[Поръчано Количество]]</f>
        <v>0</v>
      </c>
      <c r="S333" t="str" cm="1">
        <f t="array" ref="S333">_xlfn.SWITCH(T333,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33" s="6" t="s">
        <v>434</v>
      </c>
    </row>
    <row r="334" spans="1:20" ht="30">
      <c r="A334" t="s">
        <v>507</v>
      </c>
      <c r="B334">
        <v>8</v>
      </c>
      <c r="D334" s="28">
        <v>46052</v>
      </c>
      <c r="E334" t="s">
        <v>21</v>
      </c>
      <c r="F334" s="1"/>
      <c r="G334" s="30">
        <v>46041.461435185185</v>
      </c>
      <c r="H334" s="1"/>
      <c r="J334" s="1" t="s">
        <v>46</v>
      </c>
      <c r="K334" s="28"/>
      <c r="M334" s="28"/>
      <c r="O334" s="24"/>
      <c r="P334" s="24">
        <f>Table1[[#This Row],[Цена за 1 бр. в BGN]]*Table1[[#This Row],[Поръчано Количество]]</f>
        <v>0</v>
      </c>
      <c r="S334" t="str" cm="1">
        <f t="array" ref="S334">_xlfn.SWITCH(T334,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34" s="6" t="s">
        <v>434</v>
      </c>
    </row>
    <row r="335" spans="1:20">
      <c r="A335" t="s">
        <v>508</v>
      </c>
      <c r="B335">
        <v>12</v>
      </c>
      <c r="D335" s="28">
        <v>46052</v>
      </c>
      <c r="E335" t="s">
        <v>21</v>
      </c>
      <c r="F335" s="1"/>
      <c r="G335" s="30">
        <v>46041.461828703701</v>
      </c>
      <c r="H335" s="1" t="s">
        <v>22</v>
      </c>
      <c r="I335" t="s">
        <v>495</v>
      </c>
      <c r="J335" s="1" t="s">
        <v>24</v>
      </c>
      <c r="K335" s="28"/>
      <c r="M335" s="28"/>
      <c r="O335" s="24"/>
      <c r="P335" s="24">
        <f>Table1[[#This Row],[Цена за 1 бр. в BGN]]*Table1[[#This Row],[Поръчано Количество]]</f>
        <v>0</v>
      </c>
      <c r="S335" t="str" cm="1">
        <f t="array" ref="S335">_xlfn.SWITCH(T335,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35" s="6" t="s">
        <v>434</v>
      </c>
    </row>
    <row r="336" spans="1:20">
      <c r="A336" t="s">
        <v>509</v>
      </c>
      <c r="B336">
        <v>20</v>
      </c>
      <c r="D336" s="28">
        <v>46052</v>
      </c>
      <c r="E336" t="s">
        <v>21</v>
      </c>
      <c r="F336" s="1"/>
      <c r="G336" s="30">
        <v>46041.462395833332</v>
      </c>
      <c r="H336" s="1" t="s">
        <v>22</v>
      </c>
      <c r="I336" t="s">
        <v>495</v>
      </c>
      <c r="J336" s="1" t="s">
        <v>24</v>
      </c>
      <c r="K336" s="28"/>
      <c r="M336" s="28"/>
      <c r="O336" s="24"/>
      <c r="P336" s="24">
        <f>Table1[[#This Row],[Цена за 1 бр. в BGN]]*Table1[[#This Row],[Поръчано Количество]]</f>
        <v>0</v>
      </c>
      <c r="S336" t="str" cm="1">
        <f t="array" ref="S336">_xlfn.SWITCH(T336,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36" s="6" t="s">
        <v>434</v>
      </c>
    </row>
    <row r="337" spans="1:20">
      <c r="A337" t="s">
        <v>510</v>
      </c>
      <c r="B337">
        <v>20</v>
      </c>
      <c r="D337" s="28">
        <v>46052</v>
      </c>
      <c r="E337" t="s">
        <v>21</v>
      </c>
      <c r="F337" s="1"/>
      <c r="G337" s="30">
        <v>46041.466620370367</v>
      </c>
      <c r="H337" s="1" t="s">
        <v>22</v>
      </c>
      <c r="I337" t="s">
        <v>495</v>
      </c>
      <c r="J337" s="1" t="s">
        <v>24</v>
      </c>
      <c r="K337" s="28"/>
      <c r="M337" s="28"/>
      <c r="O337" s="24"/>
      <c r="P337" s="24">
        <f>Table1[[#This Row],[Цена за 1 бр. в BGN]]*Table1[[#This Row],[Поръчано Количество]]</f>
        <v>0</v>
      </c>
      <c r="S337" t="str" cm="1">
        <f t="array" ref="S337">_xlfn.SWITCH(T337,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37" s="6" t="s">
        <v>434</v>
      </c>
    </row>
    <row r="338" spans="1:20">
      <c r="A338" t="s">
        <v>511</v>
      </c>
      <c r="B338">
        <v>10</v>
      </c>
      <c r="D338" s="28">
        <v>46053</v>
      </c>
      <c r="E338" t="s">
        <v>21</v>
      </c>
      <c r="F338" s="1"/>
      <c r="G338" s="30">
        <v>46041.472442129627</v>
      </c>
      <c r="H338" s="1" t="s">
        <v>22</v>
      </c>
      <c r="I338" t="s">
        <v>495</v>
      </c>
      <c r="J338" s="1" t="s">
        <v>24</v>
      </c>
      <c r="K338" s="28"/>
      <c r="M338" s="28"/>
      <c r="O338" s="24"/>
      <c r="P338" s="24">
        <f>Table1[[#This Row],[Цена за 1 бр. в BGN]]*Table1[[#This Row],[Поръчано Количество]]</f>
        <v>0</v>
      </c>
      <c r="S338" t="str" cm="1">
        <f t="array" ref="S338">_xlfn.SWITCH(T338,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Ivan Velikov</v>
      </c>
      <c r="T338" s="6" t="s">
        <v>512</v>
      </c>
    </row>
    <row r="339" spans="1:20">
      <c r="A339" t="s">
        <v>513</v>
      </c>
      <c r="B339">
        <v>8</v>
      </c>
      <c r="D339" s="28">
        <v>46052</v>
      </c>
      <c r="E339" t="s">
        <v>21</v>
      </c>
      <c r="F339" s="1"/>
      <c r="G339" s="30">
        <v>46041.473657407405</v>
      </c>
      <c r="H339" s="1" t="s">
        <v>22</v>
      </c>
      <c r="I339" t="s">
        <v>495</v>
      </c>
      <c r="J339" s="1" t="s">
        <v>24</v>
      </c>
      <c r="K339" s="28"/>
      <c r="M339" s="28"/>
      <c r="O339" s="24"/>
      <c r="P339" s="24">
        <f>Table1[[#This Row],[Цена за 1 бр. в BGN]]*Table1[[#This Row],[Поръчано Количество]]</f>
        <v>0</v>
      </c>
      <c r="S339" t="str" cm="1">
        <f t="array" ref="S339">_xlfn.SWITCH(T339,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39" s="6" t="s">
        <v>434</v>
      </c>
    </row>
    <row r="340" spans="1:20">
      <c r="A340" t="s">
        <v>514</v>
      </c>
      <c r="B340">
        <v>6</v>
      </c>
      <c r="D340" s="28">
        <v>46052</v>
      </c>
      <c r="E340" t="s">
        <v>21</v>
      </c>
      <c r="F340" s="1"/>
      <c r="G340" s="30">
        <v>46041.485162037039</v>
      </c>
      <c r="H340" s="1" t="s">
        <v>22</v>
      </c>
      <c r="I340" t="s">
        <v>495</v>
      </c>
      <c r="J340" s="1" t="s">
        <v>24</v>
      </c>
      <c r="K340" s="28"/>
      <c r="M340" s="28"/>
      <c r="N340">
        <v>4</v>
      </c>
      <c r="O340" s="24"/>
      <c r="P340" s="24">
        <f>Table1[[#This Row],[Цена за 1 бр. в BGN]]*Table1[[#This Row],[Поръчано Количество]]</f>
        <v>0</v>
      </c>
      <c r="S340" t="str" cm="1">
        <f t="array" ref="S340">_xlfn.SWITCH(T340,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40" s="6" t="s">
        <v>434</v>
      </c>
    </row>
    <row r="341" spans="1:20">
      <c r="A341" t="s">
        <v>515</v>
      </c>
      <c r="B341">
        <v>6</v>
      </c>
      <c r="D341" s="28">
        <v>46052</v>
      </c>
      <c r="E341" t="s">
        <v>21</v>
      </c>
      <c r="F341" s="1"/>
      <c r="G341" s="30">
        <v>46041.485543981478</v>
      </c>
      <c r="H341" s="1" t="s">
        <v>22</v>
      </c>
      <c r="I341" t="s">
        <v>495</v>
      </c>
      <c r="J341" s="1" t="s">
        <v>24</v>
      </c>
      <c r="K341" s="28"/>
      <c r="M341" s="28"/>
      <c r="O341" s="24"/>
      <c r="P341" s="24">
        <f>Table1[[#This Row],[Цена за 1 бр. в BGN]]*Table1[[#This Row],[Поръчано Количество]]</f>
        <v>0</v>
      </c>
      <c r="S341" t="str" cm="1">
        <f t="array" ref="S341">_xlfn.SWITCH(T341,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41" s="6" t="s">
        <v>434</v>
      </c>
    </row>
    <row r="342" spans="1:20">
      <c r="A342" t="s">
        <v>516</v>
      </c>
      <c r="B342">
        <v>20</v>
      </c>
      <c r="D342" s="28">
        <v>46052</v>
      </c>
      <c r="E342" t="s">
        <v>21</v>
      </c>
      <c r="F342" s="1"/>
      <c r="G342" s="30">
        <v>46041.486064814817</v>
      </c>
      <c r="H342" s="1" t="s">
        <v>22</v>
      </c>
      <c r="I342" t="s">
        <v>495</v>
      </c>
      <c r="J342" s="1" t="s">
        <v>24</v>
      </c>
      <c r="K342" s="28"/>
      <c r="M342" s="28"/>
      <c r="O342" s="24"/>
      <c r="P342" s="24">
        <f>Table1[[#This Row],[Цена за 1 бр. в BGN]]*Table1[[#This Row],[Поръчано Количество]]</f>
        <v>0</v>
      </c>
      <c r="S342" t="str" cm="1">
        <f t="array" ref="S342">_xlfn.SWITCH(T342,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42" s="6" t="s">
        <v>434</v>
      </c>
    </row>
    <row r="343" spans="1:20" ht="30">
      <c r="A343" t="s">
        <v>517</v>
      </c>
      <c r="B343">
        <v>10</v>
      </c>
      <c r="D343" s="28">
        <v>46052</v>
      </c>
      <c r="E343" t="s">
        <v>21</v>
      </c>
      <c r="F343" s="1"/>
      <c r="G343" s="30">
        <v>46041.486793981479</v>
      </c>
      <c r="H343" s="1" t="s">
        <v>42</v>
      </c>
      <c r="J343" s="1" t="s">
        <v>101</v>
      </c>
      <c r="K343" s="28"/>
      <c r="M343" s="28"/>
      <c r="O343" s="24"/>
      <c r="P343" s="24">
        <f>Table1[[#This Row],[Цена за 1 бр. в BGN]]*Table1[[#This Row],[Поръчано Количество]]</f>
        <v>0</v>
      </c>
      <c r="S343" t="str" cm="1">
        <f t="array" ref="S343">_xlfn.SWITCH(T343,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43" s="6" t="s">
        <v>434</v>
      </c>
    </row>
    <row r="344" spans="1:20">
      <c r="A344" t="s">
        <v>518</v>
      </c>
      <c r="B344">
        <v>10</v>
      </c>
      <c r="D344" s="28">
        <v>46052</v>
      </c>
      <c r="E344" t="s">
        <v>21</v>
      </c>
      <c r="F344" s="1"/>
      <c r="G344" s="30">
        <v>46041.487708333334</v>
      </c>
      <c r="H344" s="1" t="s">
        <v>22</v>
      </c>
      <c r="I344" t="s">
        <v>495</v>
      </c>
      <c r="J344" s="1" t="s">
        <v>24</v>
      </c>
      <c r="K344" s="28"/>
      <c r="M344" s="28"/>
      <c r="O344" s="24"/>
      <c r="P344" s="24">
        <f>Table1[[#This Row],[Цена за 1 бр. в BGN]]*Table1[[#This Row],[Поръчано Количество]]</f>
        <v>0</v>
      </c>
      <c r="S344" t="str" cm="1">
        <f t="array" ref="S344">_xlfn.SWITCH(T344,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44" s="6" t="s">
        <v>434</v>
      </c>
    </row>
    <row r="345" spans="1:20">
      <c r="A345" t="s">
        <v>519</v>
      </c>
      <c r="B345">
        <v>6</v>
      </c>
      <c r="D345" s="28">
        <v>46052</v>
      </c>
      <c r="E345" t="s">
        <v>21</v>
      </c>
      <c r="F345" s="1"/>
      <c r="G345" s="30">
        <v>46041.488368055558</v>
      </c>
      <c r="H345" s="1" t="s">
        <v>22</v>
      </c>
      <c r="I345" t="s">
        <v>495</v>
      </c>
      <c r="J345" s="1" t="s">
        <v>24</v>
      </c>
      <c r="K345" s="28"/>
      <c r="M345" s="28"/>
      <c r="O345" s="24"/>
      <c r="P345" s="24">
        <f>Table1[[#This Row],[Цена за 1 бр. в BGN]]*Table1[[#This Row],[Поръчано Количество]]</f>
        <v>0</v>
      </c>
      <c r="S345" t="str" cm="1">
        <f t="array" ref="S345">_xlfn.SWITCH(T345,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45" s="6" t="s">
        <v>434</v>
      </c>
    </row>
    <row r="346" spans="1:20">
      <c r="A346" t="s">
        <v>520</v>
      </c>
      <c r="B346">
        <v>6</v>
      </c>
      <c r="D346" s="28">
        <v>46052</v>
      </c>
      <c r="E346" t="s">
        <v>21</v>
      </c>
      <c r="F346" s="1"/>
      <c r="G346" s="30">
        <v>46041.488738425927</v>
      </c>
      <c r="H346" s="1" t="s">
        <v>22</v>
      </c>
      <c r="I346" t="s">
        <v>495</v>
      </c>
      <c r="J346" s="1" t="s">
        <v>24</v>
      </c>
      <c r="K346" s="28"/>
      <c r="M346" s="28"/>
      <c r="O346" s="24"/>
      <c r="P346" s="24">
        <f>Table1[[#This Row],[Цена за 1 бр. в BGN]]*Table1[[#This Row],[Поръчано Количество]]</f>
        <v>0</v>
      </c>
      <c r="S346" t="str" cm="1">
        <f t="array" ref="S346">_xlfn.SWITCH(T346,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46" s="6" t="s">
        <v>434</v>
      </c>
    </row>
    <row r="347" spans="1:20">
      <c r="A347" t="s">
        <v>521</v>
      </c>
      <c r="B347">
        <v>6</v>
      </c>
      <c r="D347" s="28">
        <v>46052</v>
      </c>
      <c r="E347" t="s">
        <v>21</v>
      </c>
      <c r="F347" s="1"/>
      <c r="G347" s="30">
        <v>46041.489155092589</v>
      </c>
      <c r="H347" s="1" t="s">
        <v>22</v>
      </c>
      <c r="I347" t="s">
        <v>495</v>
      </c>
      <c r="J347" s="1" t="s">
        <v>24</v>
      </c>
      <c r="K347" s="28"/>
      <c r="M347" s="28"/>
      <c r="O347" s="24"/>
      <c r="P347" s="24">
        <f>Table1[[#This Row],[Цена за 1 бр. в BGN]]*Table1[[#This Row],[Поръчано Количество]]</f>
        <v>0</v>
      </c>
      <c r="S347" t="str" cm="1">
        <f t="array" ref="S347">_xlfn.SWITCH(T347,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47" s="6" t="s">
        <v>434</v>
      </c>
    </row>
    <row r="348" spans="1:20">
      <c r="A348" t="s">
        <v>522</v>
      </c>
      <c r="B348">
        <v>6</v>
      </c>
      <c r="D348" s="28">
        <v>46052</v>
      </c>
      <c r="E348" t="s">
        <v>21</v>
      </c>
      <c r="F348" s="1"/>
      <c r="G348" s="30">
        <v>46041.489490740743</v>
      </c>
      <c r="H348" s="1" t="s">
        <v>22</v>
      </c>
      <c r="I348" t="s">
        <v>495</v>
      </c>
      <c r="J348" s="1" t="s">
        <v>24</v>
      </c>
      <c r="K348" s="28"/>
      <c r="M348" s="28"/>
      <c r="O348" s="24"/>
      <c r="P348" s="24">
        <f>Table1[[#This Row],[Цена за 1 бр. в BGN]]*Table1[[#This Row],[Поръчано Количество]]</f>
        <v>0</v>
      </c>
      <c r="S348" t="str" cm="1">
        <f t="array" ref="S348">_xlfn.SWITCH(T348,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48" s="6" t="s">
        <v>434</v>
      </c>
    </row>
    <row r="349" spans="1:20">
      <c r="A349" t="s">
        <v>523</v>
      </c>
      <c r="B349">
        <v>6</v>
      </c>
      <c r="D349" s="28">
        <v>46052</v>
      </c>
      <c r="E349" t="s">
        <v>21</v>
      </c>
      <c r="F349" s="1"/>
      <c r="G349" s="30">
        <v>46041.489895833336</v>
      </c>
      <c r="H349" s="1" t="s">
        <v>22</v>
      </c>
      <c r="I349" t="s">
        <v>495</v>
      </c>
      <c r="J349" s="1" t="s">
        <v>24</v>
      </c>
      <c r="K349" s="28"/>
      <c r="M349" s="28"/>
      <c r="O349" s="24"/>
      <c r="P349" s="24">
        <f>Table1[[#This Row],[Цена за 1 бр. в BGN]]*Table1[[#This Row],[Поръчано Количество]]</f>
        <v>0</v>
      </c>
      <c r="S349" t="str" cm="1">
        <f t="array" ref="S349">_xlfn.SWITCH(T349,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49" s="6" t="s">
        <v>434</v>
      </c>
    </row>
    <row r="350" spans="1:20">
      <c r="A350" t="s">
        <v>524</v>
      </c>
      <c r="B350">
        <v>10</v>
      </c>
      <c r="D350" s="28">
        <v>46052</v>
      </c>
      <c r="E350" t="s">
        <v>21</v>
      </c>
      <c r="F350" s="1"/>
      <c r="G350" s="30">
        <v>46041.490173611113</v>
      </c>
      <c r="H350" s="1" t="s">
        <v>22</v>
      </c>
      <c r="I350" t="s">
        <v>495</v>
      </c>
      <c r="J350" s="1" t="s">
        <v>24</v>
      </c>
      <c r="K350" s="28"/>
      <c r="M350" s="28"/>
      <c r="O350" s="24"/>
      <c r="P350" s="24">
        <f>Table1[[#This Row],[Цена за 1 бр. в BGN]]*Table1[[#This Row],[Поръчано Количество]]</f>
        <v>0</v>
      </c>
      <c r="S350" t="str" cm="1">
        <f t="array" ref="S350">_xlfn.SWITCH(T350,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50" s="6" t="s">
        <v>434</v>
      </c>
    </row>
    <row r="351" spans="1:20">
      <c r="A351" t="s">
        <v>525</v>
      </c>
      <c r="B351">
        <v>8</v>
      </c>
      <c r="D351" s="28">
        <v>46052</v>
      </c>
      <c r="E351" t="s">
        <v>21</v>
      </c>
      <c r="F351" s="1"/>
      <c r="G351" s="30">
        <v>46041.490624999999</v>
      </c>
      <c r="H351" s="1" t="s">
        <v>22</v>
      </c>
      <c r="I351" t="s">
        <v>495</v>
      </c>
      <c r="J351" s="1" t="s">
        <v>24</v>
      </c>
      <c r="K351" s="28"/>
      <c r="M351" s="28"/>
      <c r="O351" s="24"/>
      <c r="P351" s="24">
        <f>Table1[[#This Row],[Цена за 1 бр. в BGN]]*Table1[[#This Row],[Поръчано Количество]]</f>
        <v>0</v>
      </c>
      <c r="S351" t="str" cm="1">
        <f t="array" ref="S351">_xlfn.SWITCH(T351,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51" s="6" t="s">
        <v>434</v>
      </c>
    </row>
    <row r="352" spans="1:20">
      <c r="A352" t="s">
        <v>526</v>
      </c>
      <c r="B352">
        <v>4</v>
      </c>
      <c r="D352" s="28">
        <v>46052</v>
      </c>
      <c r="E352" t="s">
        <v>21</v>
      </c>
      <c r="F352" s="1"/>
      <c r="G352" s="30">
        <v>46041.491111111114</v>
      </c>
      <c r="H352" s="1" t="s">
        <v>22</v>
      </c>
      <c r="I352" t="s">
        <v>495</v>
      </c>
      <c r="J352" s="1" t="s">
        <v>24</v>
      </c>
      <c r="K352" s="28"/>
      <c r="M352" s="28"/>
      <c r="O352" s="24"/>
      <c r="P352" s="24">
        <f>Table1[[#This Row],[Цена за 1 бр. в BGN]]*Table1[[#This Row],[Поръчано Количество]]</f>
        <v>0</v>
      </c>
      <c r="S352" t="str" cm="1">
        <f t="array" ref="S352">_xlfn.SWITCH(T352,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52" s="6" t="s">
        <v>434</v>
      </c>
    </row>
    <row r="353" spans="1:20">
      <c r="A353" t="s">
        <v>527</v>
      </c>
      <c r="B353">
        <v>3</v>
      </c>
      <c r="D353" s="28">
        <v>46052</v>
      </c>
      <c r="E353" t="s">
        <v>21</v>
      </c>
      <c r="F353" s="1"/>
      <c r="G353" s="30">
        <v>46041.491365740738</v>
      </c>
      <c r="H353" s="1" t="s">
        <v>22</v>
      </c>
      <c r="I353" t="s">
        <v>495</v>
      </c>
      <c r="J353" s="1" t="s">
        <v>24</v>
      </c>
      <c r="K353" s="28"/>
      <c r="M353" s="28"/>
      <c r="O353" s="24"/>
      <c r="P353" s="24">
        <f>Table1[[#This Row],[Цена за 1 бр. в BGN]]*Table1[[#This Row],[Поръчано Количество]]</f>
        <v>0</v>
      </c>
      <c r="S353" t="str" cm="1">
        <f t="array" ref="S353">_xlfn.SWITCH(T353,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53" s="6" t="s">
        <v>434</v>
      </c>
    </row>
    <row r="354" spans="1:20">
      <c r="A354" t="s">
        <v>528</v>
      </c>
      <c r="B354">
        <v>4</v>
      </c>
      <c r="D354" s="28">
        <v>46052</v>
      </c>
      <c r="E354" t="s">
        <v>21</v>
      </c>
      <c r="F354" s="1"/>
      <c r="G354" s="30">
        <v>46041.491736111115</v>
      </c>
      <c r="H354" s="1" t="s">
        <v>22</v>
      </c>
      <c r="I354" t="s">
        <v>495</v>
      </c>
      <c r="J354" s="1" t="s">
        <v>24</v>
      </c>
      <c r="K354" s="28"/>
      <c r="M354" s="28"/>
      <c r="O354" s="24"/>
      <c r="P354" s="24">
        <f>Table1[[#This Row],[Цена за 1 бр. в BGN]]*Table1[[#This Row],[Поръчано Количество]]</f>
        <v>0</v>
      </c>
      <c r="S354" t="str" cm="1">
        <f t="array" ref="S354">_xlfn.SWITCH(T354,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54" s="6" t="s">
        <v>434</v>
      </c>
    </row>
    <row r="355" spans="1:20">
      <c r="A355" t="s">
        <v>529</v>
      </c>
      <c r="B355">
        <v>2</v>
      </c>
      <c r="D355" s="28">
        <v>46052</v>
      </c>
      <c r="E355" t="s">
        <v>21</v>
      </c>
      <c r="F355" s="1"/>
      <c r="G355" s="30">
        <v>46041.492071759261</v>
      </c>
      <c r="H355" s="1" t="s">
        <v>22</v>
      </c>
      <c r="I355" t="s">
        <v>495</v>
      </c>
      <c r="J355" s="1" t="s">
        <v>24</v>
      </c>
      <c r="K355" s="28"/>
      <c r="M355" s="28"/>
      <c r="O355" s="24"/>
      <c r="P355" s="24">
        <f>Table1[[#This Row],[Цена за 1 бр. в BGN]]*Table1[[#This Row],[Поръчано Количество]]</f>
        <v>0</v>
      </c>
      <c r="S355" t="str" cm="1">
        <f t="array" ref="S355">_xlfn.SWITCH(T355,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55" s="6" t="s">
        <v>434</v>
      </c>
    </row>
    <row r="356" spans="1:20">
      <c r="A356" t="s">
        <v>530</v>
      </c>
      <c r="B356">
        <v>12</v>
      </c>
      <c r="D356" s="28">
        <v>46052</v>
      </c>
      <c r="E356" t="s">
        <v>21</v>
      </c>
      <c r="F356" s="1"/>
      <c r="G356" s="30">
        <v>46041.492488425924</v>
      </c>
      <c r="H356" s="1" t="s">
        <v>22</v>
      </c>
      <c r="J356" s="1" t="s">
        <v>300</v>
      </c>
      <c r="K356" s="28"/>
      <c r="M356" s="28"/>
      <c r="O356" s="24"/>
      <c r="P356" s="24">
        <f>Table1[[#This Row],[Цена за 1 бр. в BGN]]*Table1[[#This Row],[Поръчано Количество]]</f>
        <v>0</v>
      </c>
      <c r="S356" t="str" cm="1">
        <f t="array" ref="S356">_xlfn.SWITCH(T356,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56" s="6" t="s">
        <v>434</v>
      </c>
    </row>
    <row r="357" spans="1:20">
      <c r="A357" t="s">
        <v>531</v>
      </c>
      <c r="B357">
        <v>12</v>
      </c>
      <c r="D357" s="28">
        <v>46052</v>
      </c>
      <c r="E357" t="s">
        <v>21</v>
      </c>
      <c r="F357" s="1"/>
      <c r="G357" s="30">
        <v>46041.492685185185</v>
      </c>
      <c r="H357" s="1" t="s">
        <v>22</v>
      </c>
      <c r="J357" s="1" t="s">
        <v>300</v>
      </c>
      <c r="K357" s="28"/>
      <c r="M357" s="28"/>
      <c r="O357" s="24"/>
      <c r="P357" s="24">
        <f>Table1[[#This Row],[Цена за 1 бр. в BGN]]*Table1[[#This Row],[Поръчано Количество]]</f>
        <v>0</v>
      </c>
      <c r="S357" t="str" cm="1">
        <f t="array" ref="S357">_xlfn.SWITCH(T357,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57" s="6" t="s">
        <v>434</v>
      </c>
    </row>
    <row r="358" spans="1:20">
      <c r="A358" t="s">
        <v>532</v>
      </c>
      <c r="B358">
        <v>2</v>
      </c>
      <c r="D358" s="28">
        <v>46052</v>
      </c>
      <c r="E358" t="s">
        <v>92</v>
      </c>
      <c r="F358" s="1"/>
      <c r="G358" s="30">
        <v>46041.492939814816</v>
      </c>
      <c r="H358" s="1" t="s">
        <v>22</v>
      </c>
      <c r="J358" s="1" t="s">
        <v>221</v>
      </c>
      <c r="K358" s="28"/>
      <c r="M358" s="28"/>
      <c r="O358" s="24"/>
      <c r="P358" s="24">
        <f>Table1[[#This Row],[Цена за 1 бр. в BGN]]*Table1[[#This Row],[Поръчано Количество]]</f>
        <v>0</v>
      </c>
      <c r="S358" t="str" cm="1">
        <f t="array" ref="S358">_xlfn.SWITCH(T358,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58" s="6" t="s">
        <v>434</v>
      </c>
    </row>
    <row r="359" spans="1:20">
      <c r="A359" t="s">
        <v>533</v>
      </c>
      <c r="B359">
        <v>4</v>
      </c>
      <c r="D359" s="28">
        <v>46052</v>
      </c>
      <c r="E359" t="s">
        <v>92</v>
      </c>
      <c r="F359" s="1"/>
      <c r="G359" s="30">
        <v>46041.493368055555</v>
      </c>
      <c r="H359" s="1"/>
      <c r="J359" s="1" t="s">
        <v>300</v>
      </c>
      <c r="K359" s="28"/>
      <c r="M359" s="28"/>
      <c r="O359" s="24"/>
      <c r="P359" s="24">
        <f>Table1[[#This Row],[Цена за 1 бр. в BGN]]*Table1[[#This Row],[Поръчано Количество]]</f>
        <v>0</v>
      </c>
      <c r="S359" t="str" cm="1">
        <f t="array" ref="S359">_xlfn.SWITCH(T359,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59" s="6" t="s">
        <v>434</v>
      </c>
    </row>
    <row r="360" spans="1:20">
      <c r="A360" t="s">
        <v>534</v>
      </c>
      <c r="B360">
        <v>6</v>
      </c>
      <c r="D360" s="28">
        <v>46052</v>
      </c>
      <c r="E360" t="s">
        <v>92</v>
      </c>
      <c r="F360" s="1"/>
      <c r="G360" s="30">
        <v>46043.581018518518</v>
      </c>
      <c r="H360" s="1"/>
      <c r="J360" s="1"/>
      <c r="K360" s="28"/>
      <c r="M360" s="28"/>
      <c r="O360" s="24"/>
      <c r="P360" s="24">
        <f>Table1[[#This Row],[Цена за 1 бр. в BGN]]*Table1[[#This Row],[Поръчано Количество]]</f>
        <v>0</v>
      </c>
      <c r="S360" t="str" cm="1">
        <f t="array" ref="S360">_xlfn.SWITCH(T360,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60" s="6" t="s">
        <v>434</v>
      </c>
    </row>
    <row r="361" spans="1:20" ht="30">
      <c r="A361" t="s">
        <v>535</v>
      </c>
      <c r="B361">
        <v>50</v>
      </c>
      <c r="C361">
        <v>100</v>
      </c>
      <c r="D361" s="28">
        <v>46051</v>
      </c>
      <c r="E361" t="s">
        <v>34</v>
      </c>
      <c r="F361" s="1"/>
      <c r="G361" s="30">
        <v>46044.419537037036</v>
      </c>
      <c r="H361" s="1" t="s">
        <v>22</v>
      </c>
      <c r="I361" t="s">
        <v>536</v>
      </c>
      <c r="J361" s="1" t="s">
        <v>35</v>
      </c>
      <c r="K361" s="28">
        <v>46052</v>
      </c>
      <c r="M361" s="28">
        <v>46052</v>
      </c>
      <c r="N361">
        <v>100</v>
      </c>
      <c r="O361" s="24">
        <f>(138/100)*1.95583</f>
        <v>2.6990453999999997</v>
      </c>
      <c r="P361" s="24">
        <f>Table1[[#This Row],[Цена за 1 бр. в BGN]]*Table1[[#This Row],[Поръчано Количество]]</f>
        <v>269.90454</v>
      </c>
      <c r="Q361" t="s">
        <v>537</v>
      </c>
      <c r="S361" t="str" cm="1">
        <f t="array" ref="S361">_xlfn.SWITCH(T361,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T361" s="6" t="s">
        <v>461</v>
      </c>
    </row>
    <row r="362" spans="1:20" ht="30">
      <c r="A362" t="s">
        <v>538</v>
      </c>
      <c r="B362">
        <v>50</v>
      </c>
      <c r="C362">
        <v>100</v>
      </c>
      <c r="D362" s="28">
        <v>46051</v>
      </c>
      <c r="E362" t="s">
        <v>34</v>
      </c>
      <c r="F362" s="1"/>
      <c r="G362" s="30">
        <v>46044.419791666667</v>
      </c>
      <c r="H362" s="1" t="s">
        <v>22</v>
      </c>
      <c r="I362" t="s">
        <v>536</v>
      </c>
      <c r="J362" s="1" t="s">
        <v>35</v>
      </c>
      <c r="K362" s="28">
        <v>46052</v>
      </c>
      <c r="M362" s="28">
        <v>46052</v>
      </c>
      <c r="N362">
        <v>100</v>
      </c>
      <c r="O362" s="24">
        <f>(199/100)*1.95583</f>
        <v>3.8921017</v>
      </c>
      <c r="P362" s="24">
        <f>Table1[[#This Row],[Цена за 1 бр. в BGN]]*Table1[[#This Row],[Поръчано Количество]]</f>
        <v>389.21017000000001</v>
      </c>
      <c r="Q362" t="s">
        <v>537</v>
      </c>
      <c r="S362" t="str" cm="1">
        <f t="array" ref="S362">_xlfn.SWITCH(T362,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T362" s="6" t="s">
        <v>461</v>
      </c>
    </row>
    <row r="363" spans="1:20" ht="30">
      <c r="A363" t="s">
        <v>539</v>
      </c>
      <c r="B363">
        <v>5</v>
      </c>
      <c r="C363">
        <v>5</v>
      </c>
      <c r="D363" s="28">
        <v>46051</v>
      </c>
      <c r="E363" t="s">
        <v>34</v>
      </c>
      <c r="F363" s="1"/>
      <c r="G363" s="30">
        <v>46044.420335648145</v>
      </c>
      <c r="H363" s="1" t="s">
        <v>22</v>
      </c>
      <c r="I363" t="s">
        <v>536</v>
      </c>
      <c r="J363" s="1" t="s">
        <v>35</v>
      </c>
      <c r="K363" s="28">
        <v>46052</v>
      </c>
      <c r="M363" s="28">
        <v>46052</v>
      </c>
      <c r="N363">
        <v>5</v>
      </c>
      <c r="O363" s="24">
        <f>2.67*1.95583</f>
        <v>5.2220661000000002</v>
      </c>
      <c r="P363" s="24">
        <f>Table1[[#This Row],[Цена за 1 бр. в BGN]]*Table1[[#This Row],[Поръчано Количество]]</f>
        <v>26.1103305</v>
      </c>
      <c r="Q363" t="s">
        <v>537</v>
      </c>
      <c r="S363" t="str" cm="1">
        <f t="array" ref="S363">_xlfn.SWITCH(T363,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T363" s="6" t="s">
        <v>461</v>
      </c>
    </row>
    <row r="364" spans="1:20" ht="30">
      <c r="A364" t="s">
        <v>540</v>
      </c>
      <c r="B364">
        <v>5</v>
      </c>
      <c r="C364">
        <v>5</v>
      </c>
      <c r="D364" s="28">
        <v>46051</v>
      </c>
      <c r="E364" t="s">
        <v>34</v>
      </c>
      <c r="F364" s="1"/>
      <c r="G364" s="30">
        <v>46044.421261574076</v>
      </c>
      <c r="H364" s="1" t="s">
        <v>22</v>
      </c>
      <c r="I364" t="s">
        <v>536</v>
      </c>
      <c r="J364" s="1" t="s">
        <v>35</v>
      </c>
      <c r="K364" s="28">
        <v>46052</v>
      </c>
      <c r="M364" s="28">
        <v>46052</v>
      </c>
      <c r="N364">
        <v>5</v>
      </c>
      <c r="O364" s="24">
        <f>2.96*1.95583</f>
        <v>5.7892567999999995</v>
      </c>
      <c r="P364" s="24">
        <f>Table1[[#This Row],[Цена за 1 бр. в BGN]]*Table1[[#This Row],[Поръчано Количество]]</f>
        <v>28.946283999999999</v>
      </c>
      <c r="Q364" t="s">
        <v>537</v>
      </c>
      <c r="S364" t="str" cm="1">
        <f t="array" ref="S364">_xlfn.SWITCH(T364,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T364" s="6" t="s">
        <v>461</v>
      </c>
    </row>
    <row r="365" spans="1:20" ht="30">
      <c r="A365" t="s">
        <v>541</v>
      </c>
      <c r="B365">
        <v>5</v>
      </c>
      <c r="C365">
        <v>5</v>
      </c>
      <c r="D365" s="28">
        <v>46051</v>
      </c>
      <c r="E365" t="s">
        <v>34</v>
      </c>
      <c r="F365" s="1"/>
      <c r="G365" s="30">
        <v>46044.421574074076</v>
      </c>
      <c r="H365" s="1" t="s">
        <v>22</v>
      </c>
      <c r="I365" t="s">
        <v>536</v>
      </c>
      <c r="J365" s="1" t="s">
        <v>35</v>
      </c>
      <c r="K365" s="28">
        <v>46052</v>
      </c>
      <c r="M365" s="28">
        <v>46052</v>
      </c>
      <c r="N365">
        <v>5</v>
      </c>
      <c r="O365" s="24">
        <f>3.02*1.95583</f>
        <v>5.9066065999999999</v>
      </c>
      <c r="P365" s="24">
        <f>Table1[[#This Row],[Цена за 1 бр. в BGN]]*Table1[[#This Row],[Поръчано Количество]]</f>
        <v>29.533033</v>
      </c>
      <c r="Q365" t="s">
        <v>537</v>
      </c>
      <c r="S365" t="str" cm="1">
        <f t="array" ref="S365">_xlfn.SWITCH(T365,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T365" s="6" t="s">
        <v>461</v>
      </c>
    </row>
    <row r="366" spans="1:20">
      <c r="A366" t="s">
        <v>542</v>
      </c>
      <c r="B366">
        <v>3</v>
      </c>
      <c r="D366" s="28">
        <v>46045</v>
      </c>
      <c r="E366" t="s">
        <v>63</v>
      </c>
      <c r="F366" s="1"/>
      <c r="G366" s="30">
        <v>46044.842800925922</v>
      </c>
      <c r="H366" s="1" t="s">
        <v>22</v>
      </c>
      <c r="I366" t="s">
        <v>543</v>
      </c>
      <c r="J366" s="1" t="s">
        <v>64</v>
      </c>
      <c r="K366" s="28"/>
      <c r="M366" s="28">
        <v>46050</v>
      </c>
      <c r="O366" s="24">
        <f>1.95583*23.7762</f>
        <v>46.502205245999995</v>
      </c>
      <c r="P366" s="24">
        <f>Table1[[#This Row],[Цена за 1 бр. в BGN]]*Table1[[#This Row],[Поръчано Количество]]</f>
        <v>0</v>
      </c>
      <c r="S366" t="str" cm="1">
        <f t="array" ref="S366">_xlfn.SWITCH(T366,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66" s="6" t="s">
        <v>434</v>
      </c>
    </row>
    <row r="367" spans="1:20">
      <c r="A367" t="s">
        <v>544</v>
      </c>
      <c r="B367">
        <v>10</v>
      </c>
      <c r="D367" s="28">
        <v>46052</v>
      </c>
      <c r="E367" t="s">
        <v>21</v>
      </c>
      <c r="F367" s="1"/>
      <c r="G367" s="30">
        <v>46044.84815972222</v>
      </c>
      <c r="H367" s="1"/>
      <c r="J367" s="1" t="s">
        <v>101</v>
      </c>
      <c r="K367" s="28"/>
      <c r="M367" s="28"/>
      <c r="O367" s="24"/>
      <c r="P367" s="24">
        <f>Table1[[#This Row],[Цена за 1 бр. в BGN]]*Table1[[#This Row],[Поръчано Количество]]</f>
        <v>0</v>
      </c>
      <c r="S367" t="str" cm="1">
        <f t="array" ref="S367">_xlfn.SWITCH(T367,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67" s="6" t="s">
        <v>434</v>
      </c>
    </row>
    <row r="368" spans="1:20">
      <c r="A368" t="s">
        <v>545</v>
      </c>
      <c r="B368">
        <v>1</v>
      </c>
      <c r="C368">
        <v>1</v>
      </c>
      <c r="D368" s="28">
        <v>46052</v>
      </c>
      <c r="E368" t="s">
        <v>63</v>
      </c>
      <c r="F368" s="1"/>
      <c r="G368" s="30">
        <v>46044.85497685185</v>
      </c>
      <c r="H368" s="1" t="s">
        <v>22</v>
      </c>
      <c r="I368" s="38">
        <v>207244</v>
      </c>
      <c r="J368" s="1" t="s">
        <v>58</v>
      </c>
      <c r="K368" s="28">
        <v>46051</v>
      </c>
      <c r="M368" s="28">
        <v>46050</v>
      </c>
      <c r="O368" s="24">
        <v>20.61</v>
      </c>
      <c r="P368" s="24">
        <f>Table1[[#This Row],[Цена за 1 бр. в BGN]]*Table1[[#This Row],[Поръчано Количество]]</f>
        <v>20.61</v>
      </c>
      <c r="S368" t="str" cm="1">
        <f t="array" ref="S368">_xlfn.SWITCH(T368,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68" s="6" t="s">
        <v>434</v>
      </c>
    </row>
    <row r="369" spans="1:20">
      <c r="A369" t="s">
        <v>546</v>
      </c>
      <c r="B369">
        <v>1</v>
      </c>
      <c r="C369">
        <v>1</v>
      </c>
      <c r="D369" s="28">
        <v>46052</v>
      </c>
      <c r="E369" t="s">
        <v>63</v>
      </c>
      <c r="F369" s="1"/>
      <c r="G369" s="30">
        <v>46044.860474537039</v>
      </c>
      <c r="H369" s="1" t="s">
        <v>22</v>
      </c>
      <c r="I369" s="38">
        <v>207244</v>
      </c>
      <c r="J369" s="1" t="s">
        <v>58</v>
      </c>
      <c r="K369" s="28">
        <v>46051</v>
      </c>
      <c r="M369" s="28">
        <v>46050</v>
      </c>
      <c r="O369" s="24">
        <v>8.2799999999999994</v>
      </c>
      <c r="P369" s="24">
        <f>Table1[[#This Row],[Цена за 1 бр. в BGN]]*Table1[[#This Row],[Поръчано Количество]]</f>
        <v>8.2799999999999994</v>
      </c>
      <c r="S369" t="str" cm="1">
        <f t="array" ref="S369">_xlfn.SWITCH(T369,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69" s="6" t="s">
        <v>434</v>
      </c>
    </row>
    <row r="370" spans="1:20">
      <c r="A370" t="s">
        <v>547</v>
      </c>
      <c r="B370">
        <v>2</v>
      </c>
      <c r="C370">
        <v>2</v>
      </c>
      <c r="D370" s="28">
        <v>46052</v>
      </c>
      <c r="E370" t="s">
        <v>63</v>
      </c>
      <c r="F370" s="1"/>
      <c r="G370" s="30">
        <v>46044.861168981479</v>
      </c>
      <c r="H370" s="1" t="s">
        <v>22</v>
      </c>
      <c r="I370" s="38">
        <v>207244</v>
      </c>
      <c r="J370" s="1" t="s">
        <v>58</v>
      </c>
      <c r="K370" s="28">
        <v>46051</v>
      </c>
      <c r="M370" s="28">
        <v>46050</v>
      </c>
      <c r="O370" s="24">
        <v>5.73</v>
      </c>
      <c r="P370" s="24">
        <f>Table1[[#This Row],[Цена за 1 бр. в BGN]]*Table1[[#This Row],[Поръчано Количество]]</f>
        <v>11.46</v>
      </c>
      <c r="S370" t="str" cm="1">
        <f t="array" ref="S370">_xlfn.SWITCH(T370,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70" s="6" t="s">
        <v>434</v>
      </c>
    </row>
    <row r="371" spans="1:20">
      <c r="A371" t="s">
        <v>548</v>
      </c>
      <c r="B371">
        <v>1</v>
      </c>
      <c r="C371">
        <v>1</v>
      </c>
      <c r="D371" s="28">
        <v>46052</v>
      </c>
      <c r="E371" t="s">
        <v>63</v>
      </c>
      <c r="F371" s="1"/>
      <c r="G371" s="30">
        <v>46044.862800925926</v>
      </c>
      <c r="H371" s="1" t="s">
        <v>22</v>
      </c>
      <c r="I371" s="38">
        <v>207244</v>
      </c>
      <c r="J371" s="1" t="s">
        <v>58</v>
      </c>
      <c r="K371" s="28">
        <v>46051</v>
      </c>
      <c r="M371" s="28">
        <v>46050</v>
      </c>
      <c r="O371" s="24">
        <v>66.64</v>
      </c>
      <c r="P371" s="24">
        <f>Table1[[#This Row],[Цена за 1 бр. в BGN]]*Table1[[#This Row],[Поръчано Количество]]</f>
        <v>66.64</v>
      </c>
      <c r="S371" t="str" cm="1">
        <f t="array" ref="S371">_xlfn.SWITCH(T371,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71" s="6" t="s">
        <v>434</v>
      </c>
    </row>
    <row r="372" spans="1:20">
      <c r="A372" t="s">
        <v>549</v>
      </c>
      <c r="B372">
        <v>1</v>
      </c>
      <c r="C372">
        <v>1</v>
      </c>
      <c r="D372" s="28">
        <v>46052</v>
      </c>
      <c r="E372" t="s">
        <v>63</v>
      </c>
      <c r="F372" s="1"/>
      <c r="G372" s="30">
        <v>46044.863576388889</v>
      </c>
      <c r="H372" s="1" t="s">
        <v>22</v>
      </c>
      <c r="I372" s="38">
        <v>207244</v>
      </c>
      <c r="J372" s="1" t="s">
        <v>58</v>
      </c>
      <c r="K372" s="28">
        <v>46051</v>
      </c>
      <c r="M372" s="28">
        <v>46050</v>
      </c>
      <c r="O372" s="24">
        <v>18.2</v>
      </c>
      <c r="P372" s="24">
        <f>Table1[[#This Row],[Цена за 1 бр. в BGN]]*Table1[[#This Row],[Поръчано Количество]]</f>
        <v>18.2</v>
      </c>
      <c r="S372" t="str" cm="1">
        <f t="array" ref="S372">_xlfn.SWITCH(T372,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72" s="6" t="s">
        <v>434</v>
      </c>
    </row>
    <row r="373" spans="1:20">
      <c r="A373" t="s">
        <v>550</v>
      </c>
      <c r="B373">
        <v>1</v>
      </c>
      <c r="C373">
        <v>1</v>
      </c>
      <c r="D373" s="28">
        <v>46052</v>
      </c>
      <c r="E373" t="s">
        <v>63</v>
      </c>
      <c r="F373" s="1"/>
      <c r="G373" s="30">
        <v>46044.863912037035</v>
      </c>
      <c r="H373" s="1" t="s">
        <v>22</v>
      </c>
      <c r="I373" s="38">
        <v>207244</v>
      </c>
      <c r="J373" s="1" t="s">
        <v>58</v>
      </c>
      <c r="K373" s="28">
        <v>46051</v>
      </c>
      <c r="M373" s="28">
        <v>46050</v>
      </c>
      <c r="O373" s="24">
        <f>3*6.03</f>
        <v>18.09</v>
      </c>
      <c r="P373" s="24">
        <f>Table1[[#This Row],[Цена за 1 бр. в BGN]]*Table1[[#This Row],[Поръчано Количество]]</f>
        <v>18.09</v>
      </c>
      <c r="S373" t="str" cm="1">
        <f t="array" ref="S373">_xlfn.SWITCH(T373,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73" s="6" t="s">
        <v>434</v>
      </c>
    </row>
    <row r="374" spans="1:20">
      <c r="A374" t="s">
        <v>551</v>
      </c>
      <c r="B374">
        <v>3</v>
      </c>
      <c r="D374" s="28">
        <v>46052</v>
      </c>
      <c r="E374" t="s">
        <v>63</v>
      </c>
      <c r="F374" s="1"/>
      <c r="G374" s="30">
        <v>46044.864664351851</v>
      </c>
      <c r="H374" s="1" t="s">
        <v>22</v>
      </c>
      <c r="I374" t="s">
        <v>543</v>
      </c>
      <c r="J374" s="1" t="s">
        <v>64</v>
      </c>
      <c r="K374" s="28"/>
      <c r="M374" s="28">
        <v>46050</v>
      </c>
      <c r="O374" s="24">
        <f>1.95583*1.9155</f>
        <v>3.7463923649999997</v>
      </c>
      <c r="P374" s="24">
        <f>Table1[[#This Row],[Цена за 1 бр. в BGN]]*Table1[[#This Row],[Поръчано Количество]]</f>
        <v>0</v>
      </c>
      <c r="S374" t="str" cm="1">
        <f t="array" ref="S374">_xlfn.SWITCH(T374,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74" s="6" t="s">
        <v>434</v>
      </c>
    </row>
    <row r="375" spans="1:20">
      <c r="A375" t="s">
        <v>552</v>
      </c>
      <c r="B375">
        <v>3</v>
      </c>
      <c r="D375" s="28">
        <v>46052</v>
      </c>
      <c r="E375" t="s">
        <v>63</v>
      </c>
      <c r="F375" s="1"/>
      <c r="G375" s="30">
        <v>46044.865115740744</v>
      </c>
      <c r="H375" s="1" t="s">
        <v>22</v>
      </c>
      <c r="I375" t="s">
        <v>543</v>
      </c>
      <c r="J375" s="1" t="s">
        <v>64</v>
      </c>
      <c r="K375" s="28"/>
      <c r="M375" s="28">
        <v>46050</v>
      </c>
      <c r="O375" s="24">
        <f>1.95583*2.336</f>
        <v>4.5688188799999994</v>
      </c>
      <c r="P375" s="24">
        <f>Table1[[#This Row],[Цена за 1 бр. в BGN]]*Table1[[#This Row],[Поръчано Количество]]</f>
        <v>0</v>
      </c>
      <c r="S375" t="str" cm="1">
        <f t="array" ref="S375">_xlfn.SWITCH(T375,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75" s="6" t="s">
        <v>434</v>
      </c>
    </row>
    <row r="376" spans="1:20">
      <c r="A376" t="s">
        <v>553</v>
      </c>
      <c r="B376">
        <v>3</v>
      </c>
      <c r="D376" s="28">
        <v>46052</v>
      </c>
      <c r="E376" t="s">
        <v>63</v>
      </c>
      <c r="F376" s="1"/>
      <c r="G376" s="30">
        <v>46044.865393518521</v>
      </c>
      <c r="H376" s="1" t="s">
        <v>22</v>
      </c>
      <c r="I376" t="s">
        <v>543</v>
      </c>
      <c r="J376" s="1" t="s">
        <v>64</v>
      </c>
      <c r="K376" s="28"/>
      <c r="M376" s="28">
        <v>46050</v>
      </c>
      <c r="O376" s="24">
        <f>1.95583*3.0134</f>
        <v>5.893698122</v>
      </c>
      <c r="P376" s="24">
        <f>Table1[[#This Row],[Цена за 1 бр. в BGN]]*Table1[[#This Row],[Поръчано Количество]]</f>
        <v>0</v>
      </c>
      <c r="S376" t="str" cm="1">
        <f t="array" ref="S376">_xlfn.SWITCH(T376,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76" s="6" t="s">
        <v>434</v>
      </c>
    </row>
    <row r="377" spans="1:20">
      <c r="A377" t="s">
        <v>554</v>
      </c>
      <c r="B377">
        <v>50</v>
      </c>
      <c r="D377" s="28">
        <v>46052</v>
      </c>
      <c r="E377" t="s">
        <v>21</v>
      </c>
      <c r="F377" s="1"/>
      <c r="G377" s="30">
        <v>46044.866006944445</v>
      </c>
      <c r="H377" s="1" t="s">
        <v>22</v>
      </c>
      <c r="I377" t="s">
        <v>555</v>
      </c>
      <c r="J377" s="1" t="s">
        <v>24</v>
      </c>
      <c r="K377" s="28"/>
      <c r="M377" s="28"/>
      <c r="O377" s="24"/>
      <c r="P377" s="24">
        <f>Table1[[#This Row],[Цена за 1 бр. в BGN]]*Table1[[#This Row],[Поръчано Количество]]</f>
        <v>0</v>
      </c>
      <c r="S377" t="str" cm="1">
        <f t="array" ref="S377">_xlfn.SWITCH(T377,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77" s="6" t="s">
        <v>434</v>
      </c>
    </row>
    <row r="378" spans="1:20">
      <c r="A378" t="s">
        <v>556</v>
      </c>
      <c r="B378">
        <v>50</v>
      </c>
      <c r="D378" s="28">
        <v>46052</v>
      </c>
      <c r="E378" t="s">
        <v>21</v>
      </c>
      <c r="F378" s="1"/>
      <c r="G378" s="30">
        <v>46044.86645833333</v>
      </c>
      <c r="H378" s="1" t="s">
        <v>22</v>
      </c>
      <c r="I378" t="s">
        <v>555</v>
      </c>
      <c r="J378" s="1" t="s">
        <v>24</v>
      </c>
      <c r="K378" s="28"/>
      <c r="M378" s="28"/>
      <c r="O378" s="24"/>
      <c r="P378" s="24">
        <f>Table1[[#This Row],[Цена за 1 бр. в BGN]]*Table1[[#This Row],[Поръчано Количество]]</f>
        <v>0</v>
      </c>
      <c r="S378" t="str" cm="1">
        <f t="array" ref="S378">_xlfn.SWITCH(T378,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78" s="6" t="s">
        <v>434</v>
      </c>
    </row>
    <row r="379" spans="1:20">
      <c r="A379" t="s">
        <v>557</v>
      </c>
      <c r="B379">
        <v>1</v>
      </c>
      <c r="C379">
        <v>1</v>
      </c>
      <c r="D379" s="28">
        <v>46052</v>
      </c>
      <c r="E379" t="s">
        <v>63</v>
      </c>
      <c r="F379" s="1"/>
      <c r="G379" s="30">
        <v>46044.86859953704</v>
      </c>
      <c r="H379" s="1" t="s">
        <v>235</v>
      </c>
      <c r="I379" s="38">
        <v>207244</v>
      </c>
      <c r="J379" s="1" t="s">
        <v>58</v>
      </c>
      <c r="K379" s="28">
        <v>46051</v>
      </c>
      <c r="M379" s="28"/>
      <c r="O379" s="24">
        <v>40.71</v>
      </c>
      <c r="P379" s="24">
        <f>Table1[[#This Row],[Цена за 1 бр. в BGN]]*Table1[[#This Row],[Поръчано Количество]]</f>
        <v>40.71</v>
      </c>
      <c r="S379" t="str" cm="1">
        <f t="array" ref="S379">_xlfn.SWITCH(T379,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79" s="6" t="s">
        <v>434</v>
      </c>
    </row>
    <row r="380" spans="1:20">
      <c r="A380" t="s">
        <v>558</v>
      </c>
      <c r="B380">
        <v>100</v>
      </c>
      <c r="C380">
        <v>100</v>
      </c>
      <c r="D380" s="28">
        <v>46052</v>
      </c>
      <c r="E380" t="s">
        <v>21</v>
      </c>
      <c r="F380" s="1"/>
      <c r="G380" s="30">
        <v>46044.870868055557</v>
      </c>
      <c r="H380" s="1" t="s">
        <v>22</v>
      </c>
      <c r="I380" s="38">
        <v>207244</v>
      </c>
      <c r="J380" s="1" t="s">
        <v>58</v>
      </c>
      <c r="K380" s="28">
        <v>46051</v>
      </c>
      <c r="M380" s="28">
        <v>46050</v>
      </c>
      <c r="O380" s="24">
        <f>33.37/100</f>
        <v>0.3337</v>
      </c>
      <c r="P380" s="24">
        <f>Table1[[#This Row],[Цена за 1 бр. в BGN]]*Table1[[#This Row],[Поръчано Количество]]</f>
        <v>33.369999999999997</v>
      </c>
      <c r="S380" t="str" cm="1">
        <f t="array" ref="S380">_xlfn.SWITCH(T380,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80" s="6" t="s">
        <v>434</v>
      </c>
    </row>
    <row r="381" spans="1:20">
      <c r="A381" t="s">
        <v>559</v>
      </c>
      <c r="B381">
        <v>100</v>
      </c>
      <c r="C381">
        <v>100</v>
      </c>
      <c r="D381" s="28">
        <v>46052</v>
      </c>
      <c r="E381" t="s">
        <v>21</v>
      </c>
      <c r="F381" s="1"/>
      <c r="G381" s="30">
        <v>46044.871145833335</v>
      </c>
      <c r="H381" s="1" t="s">
        <v>22</v>
      </c>
      <c r="I381" s="38">
        <v>207244</v>
      </c>
      <c r="J381" s="1" t="s">
        <v>58</v>
      </c>
      <c r="K381" s="28">
        <v>46051</v>
      </c>
      <c r="M381" s="28">
        <v>46050</v>
      </c>
      <c r="O381" s="71">
        <f>0.9/100</f>
        <v>9.0000000000000011E-3</v>
      </c>
      <c r="P381" s="24">
        <f>Table1[[#This Row],[Цена за 1 бр. в BGN]]*Table1[[#This Row],[Поръчано Количество]]</f>
        <v>0.90000000000000013</v>
      </c>
      <c r="S381" t="str" cm="1">
        <f t="array" ref="S381">_xlfn.SWITCH(T381,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81" s="6" t="s">
        <v>434</v>
      </c>
    </row>
    <row r="382" spans="1:20">
      <c r="A382" t="s">
        <v>560</v>
      </c>
      <c r="B382">
        <v>100</v>
      </c>
      <c r="C382">
        <v>100</v>
      </c>
      <c r="D382" s="28">
        <v>46052</v>
      </c>
      <c r="E382" t="s">
        <v>21</v>
      </c>
      <c r="F382" s="1"/>
      <c r="G382" s="30">
        <v>46044.871655092589</v>
      </c>
      <c r="H382" s="1" t="s">
        <v>22</v>
      </c>
      <c r="I382" s="38">
        <v>207244</v>
      </c>
      <c r="J382" s="1" t="s">
        <v>58</v>
      </c>
      <c r="K382" s="28">
        <v>46051</v>
      </c>
      <c r="M382" s="28">
        <v>46050</v>
      </c>
      <c r="O382" s="71">
        <f>0.62/100</f>
        <v>6.1999999999999998E-3</v>
      </c>
      <c r="P382" s="24">
        <f>Table1[[#This Row],[Цена за 1 бр. в BGN]]*Table1[[#This Row],[Поръчано Количество]]</f>
        <v>0.62</v>
      </c>
      <c r="S382" t="str" cm="1">
        <f t="array" ref="S382">_xlfn.SWITCH(T382,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82" s="6" t="s">
        <v>434</v>
      </c>
    </row>
    <row r="383" spans="1:20">
      <c r="A383" t="s">
        <v>561</v>
      </c>
      <c r="B383">
        <v>100</v>
      </c>
      <c r="C383">
        <v>100</v>
      </c>
      <c r="D383" s="28">
        <v>46052</v>
      </c>
      <c r="E383" t="s">
        <v>92</v>
      </c>
      <c r="F383" s="1"/>
      <c r="G383" s="30">
        <v>46044.871851851851</v>
      </c>
      <c r="H383" s="1" t="s">
        <v>22</v>
      </c>
      <c r="I383" s="38">
        <v>207244</v>
      </c>
      <c r="J383" s="1" t="s">
        <v>58</v>
      </c>
      <c r="K383" s="28">
        <v>46051</v>
      </c>
      <c r="M383" s="28">
        <v>46050</v>
      </c>
      <c r="O383" s="71">
        <f>0.41/100</f>
        <v>4.0999999999999995E-3</v>
      </c>
      <c r="P383" s="24">
        <f>Table1[[#This Row],[Цена за 1 бр. в BGN]]*Table1[[#This Row],[Поръчано Количество]]</f>
        <v>0.40999999999999992</v>
      </c>
      <c r="S383" t="str" cm="1">
        <f t="array" ref="S383">_xlfn.SWITCH(T383,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83" s="6" t="s">
        <v>434</v>
      </c>
    </row>
    <row r="384" spans="1:20">
      <c r="A384" t="s">
        <v>562</v>
      </c>
      <c r="B384">
        <v>1</v>
      </c>
      <c r="C384">
        <v>1</v>
      </c>
      <c r="D384" s="28">
        <v>46052</v>
      </c>
      <c r="E384" t="s">
        <v>63</v>
      </c>
      <c r="F384" s="1"/>
      <c r="G384" s="30">
        <v>46044.873414351852</v>
      </c>
      <c r="H384" s="1" t="s">
        <v>22</v>
      </c>
      <c r="I384" s="38">
        <v>207244</v>
      </c>
      <c r="J384" s="1" t="s">
        <v>58</v>
      </c>
      <c r="K384" s="28">
        <v>46051</v>
      </c>
      <c r="M384" s="28">
        <v>46050</v>
      </c>
      <c r="O384" s="24">
        <v>19.170000000000002</v>
      </c>
      <c r="P384" s="24">
        <f>Table1[[#This Row],[Цена за 1 бр. в BGN]]*Table1[[#This Row],[Поръчано Количество]]</f>
        <v>19.170000000000002</v>
      </c>
      <c r="S384" t="str" cm="1">
        <f t="array" ref="S384">_xlfn.SWITCH(T384,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84" s="6" t="s">
        <v>434</v>
      </c>
    </row>
    <row r="385" spans="1:20">
      <c r="A385" t="s">
        <v>563</v>
      </c>
      <c r="B385">
        <v>4</v>
      </c>
      <c r="D385" s="28">
        <v>46052</v>
      </c>
      <c r="E385" t="s">
        <v>63</v>
      </c>
      <c r="F385" s="1"/>
      <c r="G385" s="30">
        <v>46044.874537037038</v>
      </c>
      <c r="H385" s="1" t="s">
        <v>22</v>
      </c>
      <c r="I385" t="s">
        <v>543</v>
      </c>
      <c r="J385" s="1" t="s">
        <v>64</v>
      </c>
      <c r="K385" s="28"/>
      <c r="M385" s="28">
        <v>46050</v>
      </c>
      <c r="O385" s="24">
        <v>2.3496999999999999</v>
      </c>
      <c r="P385" s="24">
        <f>Table1[[#This Row],[Цена за 1 бр. в BGN]]*Table1[[#This Row],[Поръчано Количество]]</f>
        <v>0</v>
      </c>
      <c r="S385" t="str" cm="1">
        <f t="array" ref="S385">_xlfn.SWITCH(T385,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85" s="6" t="s">
        <v>434</v>
      </c>
    </row>
    <row r="386" spans="1:20">
      <c r="A386" t="s">
        <v>564</v>
      </c>
      <c r="B386">
        <v>4</v>
      </c>
      <c r="D386" s="28">
        <v>46052</v>
      </c>
      <c r="E386" t="s">
        <v>63</v>
      </c>
      <c r="F386" s="1"/>
      <c r="G386" s="30">
        <v>46044.874884259261</v>
      </c>
      <c r="H386" s="1" t="s">
        <v>22</v>
      </c>
      <c r="I386" t="s">
        <v>543</v>
      </c>
      <c r="J386" s="1" t="s">
        <v>64</v>
      </c>
      <c r="K386" s="28"/>
      <c r="M386" s="28">
        <v>46050</v>
      </c>
      <c r="O386" s="24">
        <v>2.7017000000000002</v>
      </c>
      <c r="P386" s="24">
        <f>Table1[[#This Row],[Цена за 1 бр. в BGN]]*Table1[[#This Row],[Поръчано Количество]]</f>
        <v>0</v>
      </c>
      <c r="S386" t="str" cm="1">
        <f t="array" ref="S386">_xlfn.SWITCH(T386,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86" s="6" t="s">
        <v>434</v>
      </c>
    </row>
    <row r="387" spans="1:20">
      <c r="A387" t="s">
        <v>565</v>
      </c>
      <c r="B387">
        <v>4</v>
      </c>
      <c r="D387" s="28">
        <v>46052</v>
      </c>
      <c r="E387" t="s">
        <v>63</v>
      </c>
      <c r="F387" s="1"/>
      <c r="G387" s="30">
        <v>46044.875150462962</v>
      </c>
      <c r="H387" s="1" t="s">
        <v>22</v>
      </c>
      <c r="I387" t="s">
        <v>543</v>
      </c>
      <c r="J387" s="1" t="s">
        <v>64</v>
      </c>
      <c r="K387" s="28"/>
      <c r="M387" s="28">
        <v>46050</v>
      </c>
      <c r="O387" s="24">
        <f>1.95583*3.4628</f>
        <v>6.7726481239999998</v>
      </c>
      <c r="P387" s="24">
        <f>Table1[[#This Row],[Цена за 1 бр. в BGN]]*Table1[[#This Row],[Поръчано Количество]]</f>
        <v>0</v>
      </c>
      <c r="S387" t="str" cm="1">
        <f t="array" ref="S387">_xlfn.SWITCH(T387,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87" s="6" t="s">
        <v>434</v>
      </c>
    </row>
    <row r="388" spans="1:20">
      <c r="A388" t="s">
        <v>566</v>
      </c>
      <c r="B388">
        <v>4</v>
      </c>
      <c r="D388" s="28">
        <v>46052</v>
      </c>
      <c r="E388" t="s">
        <v>63</v>
      </c>
      <c r="F388" s="1"/>
      <c r="G388" s="30">
        <v>46044.875567129631</v>
      </c>
      <c r="H388" s="1" t="s">
        <v>22</v>
      </c>
      <c r="I388" t="s">
        <v>543</v>
      </c>
      <c r="J388" s="1" t="s">
        <v>64</v>
      </c>
      <c r="K388" s="28"/>
      <c r="M388" s="28">
        <v>46050</v>
      </c>
      <c r="O388" s="24">
        <f>1.95583*8.4837</f>
        <v>16.592674971000001</v>
      </c>
      <c r="P388" s="24">
        <f>Table1[[#This Row],[Цена за 1 бр. в BGN]]*Table1[[#This Row],[Поръчано Количество]]</f>
        <v>0</v>
      </c>
      <c r="S388" t="str" cm="1">
        <f t="array" ref="S388">_xlfn.SWITCH(T388,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88" s="6" t="s">
        <v>434</v>
      </c>
    </row>
    <row r="389" spans="1:20">
      <c r="A389" t="s">
        <v>567</v>
      </c>
      <c r="B389">
        <v>4</v>
      </c>
      <c r="D389" s="28">
        <v>46052</v>
      </c>
      <c r="E389" t="s">
        <v>63</v>
      </c>
      <c r="F389" s="1"/>
      <c r="G389" s="30">
        <v>46044.875787037039</v>
      </c>
      <c r="H389" s="1" t="s">
        <v>22</v>
      </c>
      <c r="I389" t="s">
        <v>543</v>
      </c>
      <c r="J389" s="1" t="s">
        <v>64</v>
      </c>
      <c r="K389" s="28"/>
      <c r="M389" s="28">
        <v>46050</v>
      </c>
      <c r="O389" s="24">
        <f>1.95583*2.1106</f>
        <v>4.1279747979999994</v>
      </c>
      <c r="P389" s="24">
        <f>Table1[[#This Row],[Цена за 1 бр. в BGN]]*Table1[[#This Row],[Поръчано Количество]]</f>
        <v>0</v>
      </c>
      <c r="S389" t="str" cm="1">
        <f t="array" ref="S389">_xlfn.SWITCH(T389,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89" s="6" t="s">
        <v>434</v>
      </c>
    </row>
    <row r="390" spans="1:20">
      <c r="A390" t="s">
        <v>568</v>
      </c>
      <c r="B390">
        <v>3</v>
      </c>
      <c r="D390" s="28">
        <v>46052</v>
      </c>
      <c r="E390" t="s">
        <v>63</v>
      </c>
      <c r="F390" s="1"/>
      <c r="G390" s="30">
        <v>46044.876180555555</v>
      </c>
      <c r="H390" s="1" t="s">
        <v>235</v>
      </c>
      <c r="I390" t="s">
        <v>543</v>
      </c>
      <c r="J390" s="1" t="s">
        <v>64</v>
      </c>
      <c r="K390" s="28"/>
      <c r="M390" s="28"/>
      <c r="O390" s="24">
        <f>1.95583*2.4074</f>
        <v>4.7084651419999997</v>
      </c>
      <c r="P390" s="24">
        <f>Table1[[#This Row],[Цена за 1 бр. в BGN]]*Table1[[#This Row],[Поръчано Количество]]</f>
        <v>0</v>
      </c>
      <c r="S390" t="str" cm="1">
        <f t="array" ref="S390">_xlfn.SWITCH(T390,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90" s="6" t="s">
        <v>434</v>
      </c>
    </row>
    <row r="391" spans="1:20">
      <c r="A391" t="s">
        <v>569</v>
      </c>
      <c r="B391">
        <v>3</v>
      </c>
      <c r="D391" s="28">
        <v>46052</v>
      </c>
      <c r="E391" t="s">
        <v>63</v>
      </c>
      <c r="F391" s="1"/>
      <c r="G391" s="30">
        <v>46044.876423611109</v>
      </c>
      <c r="H391" s="1" t="s">
        <v>235</v>
      </c>
      <c r="I391" t="s">
        <v>543</v>
      </c>
      <c r="J391" s="1" t="s">
        <v>64</v>
      </c>
      <c r="K391" s="28"/>
      <c r="M391" s="28"/>
      <c r="O391" s="24">
        <f>1.95583*2.9589</f>
        <v>5.7871053869999995</v>
      </c>
      <c r="P391" s="24">
        <f>Table1[[#This Row],[Цена за 1 бр. в BGN]]*Table1[[#This Row],[Поръчано Количество]]</f>
        <v>0</v>
      </c>
      <c r="S391" t="str" cm="1">
        <f t="array" ref="S391">_xlfn.SWITCH(T391,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91" s="6" t="s">
        <v>434</v>
      </c>
    </row>
    <row r="392" spans="1:20">
      <c r="A392" t="s">
        <v>570</v>
      </c>
      <c r="B392">
        <v>3</v>
      </c>
      <c r="D392" s="28">
        <v>46052</v>
      </c>
      <c r="E392" t="s">
        <v>63</v>
      </c>
      <c r="F392" s="1"/>
      <c r="G392" s="30">
        <v>46044.876863425925</v>
      </c>
      <c r="H392" s="1" t="s">
        <v>22</v>
      </c>
      <c r="I392" t="s">
        <v>543</v>
      </c>
      <c r="J392" s="1" t="s">
        <v>64</v>
      </c>
      <c r="K392" s="28"/>
      <c r="M392" s="28">
        <v>46050</v>
      </c>
      <c r="O392" s="24"/>
      <c r="P392" s="24">
        <f>Table1[[#This Row],[Цена за 1 бр. в BGN]]*Table1[[#This Row],[Поръчано Количество]]</f>
        <v>0</v>
      </c>
      <c r="S392" t="str" cm="1">
        <f t="array" ref="S392">_xlfn.SWITCH(T392,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92" s="6" t="s">
        <v>434</v>
      </c>
    </row>
    <row r="393" spans="1:20">
      <c r="A393" t="s">
        <v>571</v>
      </c>
      <c r="B393">
        <v>2</v>
      </c>
      <c r="D393" s="28">
        <v>46052</v>
      </c>
      <c r="E393" t="s">
        <v>63</v>
      </c>
      <c r="F393" s="1"/>
      <c r="G393" s="30">
        <v>46044.877395833333</v>
      </c>
      <c r="H393" s="1" t="s">
        <v>235</v>
      </c>
      <c r="I393" t="s">
        <v>543</v>
      </c>
      <c r="J393" s="1" t="s">
        <v>64</v>
      </c>
      <c r="K393" s="28"/>
      <c r="M393" s="28"/>
      <c r="O393" s="24"/>
      <c r="P393" s="24">
        <f>Table1[[#This Row],[Цена за 1 бр. в BGN]]*Table1[[#This Row],[Поръчано Количество]]</f>
        <v>0</v>
      </c>
      <c r="S393" t="str" cm="1">
        <f t="array" ref="S393">_xlfn.SWITCH(T393,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93" s="6" t="s">
        <v>434</v>
      </c>
    </row>
    <row r="394" spans="1:20">
      <c r="A394" t="s">
        <v>572</v>
      </c>
      <c r="B394">
        <v>2</v>
      </c>
      <c r="D394" s="28">
        <v>46052</v>
      </c>
      <c r="E394" t="s">
        <v>63</v>
      </c>
      <c r="F394" s="1"/>
      <c r="G394" s="30">
        <v>46044.877604166664</v>
      </c>
      <c r="H394" s="1" t="s">
        <v>22</v>
      </c>
      <c r="I394" t="s">
        <v>543</v>
      </c>
      <c r="J394" s="1" t="s">
        <v>64</v>
      </c>
      <c r="K394" s="28"/>
      <c r="M394" s="28">
        <v>46050</v>
      </c>
      <c r="O394" s="24"/>
      <c r="P394" s="24">
        <f>Table1[[#This Row],[Цена за 1 бр. в BGN]]*Table1[[#This Row],[Поръчано Количество]]</f>
        <v>0</v>
      </c>
      <c r="S394" t="str" cm="1">
        <f t="array" ref="S394">_xlfn.SWITCH(T394,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94" s="6" t="s">
        <v>434</v>
      </c>
    </row>
    <row r="395" spans="1:20">
      <c r="A395" t="s">
        <v>428</v>
      </c>
      <c r="B395">
        <v>2</v>
      </c>
      <c r="D395" s="28">
        <v>46052</v>
      </c>
      <c r="E395" t="s">
        <v>63</v>
      </c>
      <c r="F395" s="1"/>
      <c r="G395" s="30">
        <v>46044.877858796295</v>
      </c>
      <c r="H395" s="1" t="s">
        <v>22</v>
      </c>
      <c r="I395" t="s">
        <v>543</v>
      </c>
      <c r="J395" s="1" t="s">
        <v>64</v>
      </c>
      <c r="K395" s="28"/>
      <c r="M395" s="28">
        <v>46050</v>
      </c>
      <c r="O395" s="24"/>
      <c r="P395" s="24">
        <f>Table1[[#This Row],[Цена за 1 бр. в BGN]]*Table1[[#This Row],[Поръчано Количество]]</f>
        <v>0</v>
      </c>
      <c r="S395" t="str" cm="1">
        <f t="array" ref="S395">_xlfn.SWITCH(T395,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95" s="6" t="s">
        <v>434</v>
      </c>
    </row>
    <row r="396" spans="1:20">
      <c r="A396" t="s">
        <v>573</v>
      </c>
      <c r="B396">
        <v>2</v>
      </c>
      <c r="D396" s="28">
        <v>46052</v>
      </c>
      <c r="E396" t="s">
        <v>63</v>
      </c>
      <c r="F396" s="1"/>
      <c r="G396" s="30">
        <v>46044.878136574072</v>
      </c>
      <c r="H396" s="1" t="s">
        <v>22</v>
      </c>
      <c r="I396" t="s">
        <v>543</v>
      </c>
      <c r="J396" s="1" t="s">
        <v>64</v>
      </c>
      <c r="K396" s="28"/>
      <c r="M396" s="28">
        <v>46050</v>
      </c>
      <c r="O396" s="24"/>
      <c r="P396" s="24">
        <f>Table1[[#This Row],[Цена за 1 бр. в BGN]]*Table1[[#This Row],[Поръчано Количество]]</f>
        <v>0</v>
      </c>
      <c r="S396" t="str" cm="1">
        <f t="array" ref="S396">_xlfn.SWITCH(T396,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96" s="6" t="s">
        <v>434</v>
      </c>
    </row>
    <row r="397" spans="1:20">
      <c r="A397" t="s">
        <v>427</v>
      </c>
      <c r="B397">
        <v>2</v>
      </c>
      <c r="D397" s="28">
        <v>46052</v>
      </c>
      <c r="E397" t="s">
        <v>63</v>
      </c>
      <c r="F397" s="1"/>
      <c r="G397" s="30">
        <v>46044.87840277778</v>
      </c>
      <c r="H397" s="1" t="s">
        <v>22</v>
      </c>
      <c r="I397" t="s">
        <v>543</v>
      </c>
      <c r="J397" s="1" t="s">
        <v>64</v>
      </c>
      <c r="K397" s="28"/>
      <c r="M397" s="28">
        <v>46050</v>
      </c>
      <c r="O397" s="24"/>
      <c r="P397" s="24">
        <f>Table1[[#This Row],[Цена за 1 бр. в BGN]]*Table1[[#This Row],[Поръчано Количество]]</f>
        <v>0</v>
      </c>
      <c r="S397" t="str" cm="1">
        <f t="array" ref="S397">_xlfn.SWITCH(T397,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97" s="6" t="s">
        <v>434</v>
      </c>
    </row>
    <row r="398" spans="1:20">
      <c r="A398" t="s">
        <v>574</v>
      </c>
      <c r="B398">
        <v>20</v>
      </c>
      <c r="D398" s="28">
        <v>46052</v>
      </c>
      <c r="E398" t="s">
        <v>34</v>
      </c>
      <c r="F398" s="1"/>
      <c r="G398" s="30">
        <v>46045.279548611114</v>
      </c>
      <c r="H398" s="1" t="s">
        <v>22</v>
      </c>
      <c r="I398" t="s">
        <v>555</v>
      </c>
      <c r="J398" s="1" t="s">
        <v>24</v>
      </c>
      <c r="K398" s="28"/>
      <c r="M398" s="28"/>
      <c r="O398" s="24"/>
      <c r="P398" s="24">
        <f>Table1[[#This Row],[Цена за 1 бр. в BGN]]*Table1[[#This Row],[Поръчано Количество]]</f>
        <v>0</v>
      </c>
      <c r="S398" t="str" cm="1">
        <f t="array" ref="S398">_xlfn.SWITCH(T398,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98" s="6" t="s">
        <v>434</v>
      </c>
    </row>
    <row r="399" spans="1:20">
      <c r="A399" t="s">
        <v>575</v>
      </c>
      <c r="B399">
        <v>8</v>
      </c>
      <c r="D399" s="28">
        <v>46052</v>
      </c>
      <c r="E399" t="s">
        <v>34</v>
      </c>
      <c r="F399" s="1"/>
      <c r="G399" s="30">
        <v>46045.279953703706</v>
      </c>
      <c r="H399" s="1" t="s">
        <v>22</v>
      </c>
      <c r="I399" t="s">
        <v>555</v>
      </c>
      <c r="J399" s="1" t="s">
        <v>24</v>
      </c>
      <c r="K399" s="28"/>
      <c r="M399" s="28"/>
      <c r="O399" s="24"/>
      <c r="P399" s="24">
        <f>Table1[[#This Row],[Цена за 1 бр. в BGN]]*Table1[[#This Row],[Поръчано Количество]]</f>
        <v>0</v>
      </c>
      <c r="S399" t="str" cm="1">
        <f t="array" ref="S399">_xlfn.SWITCH(T399,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399" s="6" t="s">
        <v>434</v>
      </c>
    </row>
    <row r="400" spans="1:20">
      <c r="A400" t="s">
        <v>576</v>
      </c>
      <c r="B400">
        <v>4</v>
      </c>
      <c r="D400" s="28">
        <v>46059</v>
      </c>
      <c r="E400" t="s">
        <v>34</v>
      </c>
      <c r="F400" s="1"/>
      <c r="G400" s="30">
        <v>46047.469756944447</v>
      </c>
      <c r="H400" s="1" t="s">
        <v>22</v>
      </c>
      <c r="I400" t="s">
        <v>555</v>
      </c>
      <c r="J400" s="1" t="s">
        <v>24</v>
      </c>
      <c r="K400" s="28"/>
      <c r="M400" s="28"/>
      <c r="O400" s="24"/>
      <c r="P400" s="24">
        <f>Table1[[#This Row],[Цена за 1 бр. в BGN]]*Table1[[#This Row],[Поръчано Количество]]</f>
        <v>0</v>
      </c>
      <c r="S400" t="str" cm="1">
        <f t="array" ref="S400">_xlfn.SWITCH(T400,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400" s="6" t="s">
        <v>434</v>
      </c>
    </row>
    <row r="401" spans="1:20" ht="30">
      <c r="A401" t="s">
        <v>577</v>
      </c>
      <c r="B401">
        <v>6</v>
      </c>
      <c r="C401">
        <v>6</v>
      </c>
      <c r="D401" s="28">
        <v>46059</v>
      </c>
      <c r="E401" t="s">
        <v>34</v>
      </c>
      <c r="F401" s="1"/>
      <c r="G401" s="30">
        <v>46047.471041666664</v>
      </c>
      <c r="H401" s="1" t="s">
        <v>235</v>
      </c>
      <c r="I401" t="s">
        <v>236</v>
      </c>
      <c r="J401" s="1" t="s">
        <v>35</v>
      </c>
      <c r="K401" s="28"/>
      <c r="M401" s="28"/>
      <c r="O401" s="24">
        <f>1.95583*120</f>
        <v>234.6996</v>
      </c>
      <c r="P401" s="24">
        <f>Table1[[#This Row],[Цена за 1 бр. в BGN]]*Table1[[#This Row],[Поръчано Количество]]</f>
        <v>1408.1976</v>
      </c>
      <c r="S401" t="str" cm="1">
        <f t="array" ref="S401">_xlfn.SWITCH(T401,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401" s="6" t="s">
        <v>434</v>
      </c>
    </row>
    <row r="402" spans="1:20" ht="30">
      <c r="A402" t="s">
        <v>578</v>
      </c>
      <c r="B402">
        <v>4</v>
      </c>
      <c r="D402" s="28">
        <v>46059</v>
      </c>
      <c r="E402" t="s">
        <v>21</v>
      </c>
      <c r="F402" s="1"/>
      <c r="G402" s="30">
        <v>46047.472349537034</v>
      </c>
      <c r="H402" s="1" t="s">
        <v>42</v>
      </c>
      <c r="I402" t="s">
        <v>579</v>
      </c>
      <c r="J402" s="1" t="s">
        <v>580</v>
      </c>
      <c r="K402" s="28"/>
      <c r="M402" s="28"/>
      <c r="O402" s="24"/>
      <c r="P402" s="24">
        <f>Table1[[#This Row],[Цена за 1 бр. в BGN]]*Table1[[#This Row],[Поръчано Количество]]</f>
        <v>0</v>
      </c>
      <c r="S402" t="str" cm="1">
        <f t="array" ref="S402">_xlfn.SWITCH(T402,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402" s="6" t="s">
        <v>434</v>
      </c>
    </row>
    <row r="403" spans="1:20" ht="30">
      <c r="A403" t="s">
        <v>581</v>
      </c>
      <c r="B403">
        <v>4</v>
      </c>
      <c r="D403" s="28">
        <v>46059</v>
      </c>
      <c r="E403" t="s">
        <v>21</v>
      </c>
      <c r="F403" s="1"/>
      <c r="G403" s="30">
        <v>46047.472928240742</v>
      </c>
      <c r="H403" s="1" t="s">
        <v>42</v>
      </c>
      <c r="I403" t="s">
        <v>579</v>
      </c>
      <c r="J403" s="1" t="s">
        <v>580</v>
      </c>
      <c r="K403" s="28"/>
      <c r="M403" s="28"/>
      <c r="O403" s="24"/>
      <c r="P403" s="24">
        <f>Table1[[#This Row],[Цена за 1 бр. в BGN]]*Table1[[#This Row],[Поръчано Количество]]</f>
        <v>0</v>
      </c>
      <c r="S403" t="str" cm="1">
        <f t="array" ref="S403">_xlfn.SWITCH(T403,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403" s="6" t="s">
        <v>434</v>
      </c>
    </row>
    <row r="404" spans="1:20">
      <c r="A404" t="s">
        <v>582</v>
      </c>
      <c r="B404">
        <v>4</v>
      </c>
      <c r="D404" s="28">
        <v>46059</v>
      </c>
      <c r="E404" t="s">
        <v>34</v>
      </c>
      <c r="F404" s="1"/>
      <c r="G404" s="30">
        <v>46047.474861111114</v>
      </c>
      <c r="H404" s="1" t="s">
        <v>22</v>
      </c>
      <c r="I404" t="s">
        <v>555</v>
      </c>
      <c r="J404" s="1" t="s">
        <v>24</v>
      </c>
      <c r="K404" s="28"/>
      <c r="M404" s="28"/>
      <c r="O404" s="24"/>
      <c r="P404" s="24">
        <f>Table1[[#This Row],[Цена за 1 бр. в BGN]]*Table1[[#This Row],[Поръчано Количество]]</f>
        <v>0</v>
      </c>
      <c r="S404" t="str" cm="1">
        <f t="array" ref="S404">_xlfn.SWITCH(T404,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404" s="6" t="s">
        <v>434</v>
      </c>
    </row>
    <row r="405" spans="1:20">
      <c r="A405" t="s">
        <v>583</v>
      </c>
      <c r="B405">
        <v>8</v>
      </c>
      <c r="D405" s="28">
        <v>46059</v>
      </c>
      <c r="E405" t="s">
        <v>34</v>
      </c>
      <c r="F405" s="1"/>
      <c r="G405" s="30">
        <v>46047.475474537037</v>
      </c>
      <c r="H405" s="1" t="s">
        <v>22</v>
      </c>
      <c r="I405" t="s">
        <v>555</v>
      </c>
      <c r="J405" s="1" t="s">
        <v>24</v>
      </c>
      <c r="K405" s="28"/>
      <c r="M405" s="28"/>
      <c r="O405" s="24"/>
      <c r="P405" s="24">
        <f>Table1[[#This Row],[Цена за 1 бр. в BGN]]*Table1[[#This Row],[Поръчано Количество]]</f>
        <v>0</v>
      </c>
      <c r="S405" t="str" cm="1">
        <f t="array" ref="S405">_xlfn.SWITCH(T405,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405" s="6" t="s">
        <v>434</v>
      </c>
    </row>
    <row r="406" spans="1:20">
      <c r="A406" t="s">
        <v>584</v>
      </c>
      <c r="B406">
        <v>6</v>
      </c>
      <c r="D406" s="28">
        <v>46059</v>
      </c>
      <c r="E406" t="s">
        <v>34</v>
      </c>
      <c r="F406" s="1"/>
      <c r="G406" s="30">
        <v>46047.476168981484</v>
      </c>
      <c r="H406" s="1" t="s">
        <v>22</v>
      </c>
      <c r="I406" t="s">
        <v>555</v>
      </c>
      <c r="J406" s="1" t="s">
        <v>24</v>
      </c>
      <c r="K406" s="28"/>
      <c r="M406" s="28"/>
      <c r="O406" s="24"/>
      <c r="P406" s="24">
        <f>Table1[[#This Row],[Цена за 1 бр. в BGN]]*Table1[[#This Row],[Поръчано Количество]]</f>
        <v>0</v>
      </c>
      <c r="S406" t="str" cm="1">
        <f t="array" ref="S406">_xlfn.SWITCH(T406,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406" s="6" t="s">
        <v>434</v>
      </c>
    </row>
    <row r="407" spans="1:20">
      <c r="A407" t="s">
        <v>585</v>
      </c>
      <c r="B407">
        <v>6</v>
      </c>
      <c r="D407" s="28">
        <v>46056</v>
      </c>
      <c r="E407" t="s">
        <v>21</v>
      </c>
      <c r="F407" s="1"/>
      <c r="G407" s="30">
        <v>46056.23641203704</v>
      </c>
      <c r="H407" s="1"/>
      <c r="J407" s="1"/>
      <c r="K407" s="28"/>
      <c r="M407" s="28"/>
      <c r="O407" s="24"/>
      <c r="P407" s="24">
        <f>Table1[[#This Row],[Цена за 1 бр. в BGN]]*Table1[[#This Row],[Поръчано Количество]]</f>
        <v>0</v>
      </c>
      <c r="S407" t="str" cm="1">
        <f t="array" ref="S407">_xlfn.SWITCH(T407,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T407" s="6" t="s">
        <v>586</v>
      </c>
    </row>
    <row r="408" spans="1:20" ht="30">
      <c r="A408" t="s">
        <v>587</v>
      </c>
      <c r="B408">
        <v>20</v>
      </c>
      <c r="D408" s="28">
        <v>46059</v>
      </c>
      <c r="E408" t="s">
        <v>21</v>
      </c>
      <c r="F408" s="1"/>
      <c r="G408" s="30">
        <v>46057.330659722225</v>
      </c>
      <c r="H408" s="1" t="s">
        <v>42</v>
      </c>
      <c r="I408" t="s">
        <v>588</v>
      </c>
      <c r="J408" s="1" t="s">
        <v>101</v>
      </c>
      <c r="K408" s="28"/>
      <c r="M408" s="28"/>
      <c r="O408" s="24"/>
      <c r="P408" s="24">
        <f>Table1[[#This Row],[Цена за 1 бр. в BGN]]*Table1[[#This Row],[Поръчано Количество]]</f>
        <v>0</v>
      </c>
      <c r="S408" t="str" cm="1">
        <f t="array" ref="S408">_xlfn.SWITCH(T408,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408" s="6" t="s">
        <v>434</v>
      </c>
    </row>
    <row r="409" spans="1:20">
      <c r="A409" t="s">
        <v>589</v>
      </c>
      <c r="B409">
        <v>1</v>
      </c>
      <c r="D409" s="28">
        <v>46064</v>
      </c>
      <c r="E409" t="s">
        <v>63</v>
      </c>
      <c r="F409" s="1"/>
      <c r="G409" s="30">
        <v>46060.691087962965</v>
      </c>
      <c r="H409" s="1"/>
      <c r="J409" s="1"/>
      <c r="K409" s="28"/>
      <c r="M409" s="28"/>
      <c r="O409" s="24"/>
      <c r="P409" s="24">
        <f>Table1[[#This Row],[Цена за 1 бр. в BGN]]*Table1[[#This Row],[Поръчано Количество]]</f>
        <v>0</v>
      </c>
      <c r="S409" t="str" cm="1">
        <f t="array" ref="S409">_xlfn.SWITCH(T409,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T409" s="6" t="s">
        <v>461</v>
      </c>
    </row>
    <row r="410" spans="1:20" ht="30">
      <c r="A410" t="s">
        <v>590</v>
      </c>
      <c r="B410">
        <v>20</v>
      </c>
      <c r="D410" s="28">
        <v>46066</v>
      </c>
      <c r="E410" t="s">
        <v>21</v>
      </c>
      <c r="F410" s="1"/>
      <c r="G410" s="30">
        <v>46065.34269675926</v>
      </c>
      <c r="H410" s="1" t="s">
        <v>42</v>
      </c>
      <c r="I410" t="s">
        <v>588</v>
      </c>
      <c r="J410" s="1" t="s">
        <v>101</v>
      </c>
      <c r="K410" s="28"/>
      <c r="M410" s="28"/>
      <c r="O410" s="24"/>
      <c r="P410" s="24">
        <f>Table1[[#This Row],[Цена за 1 бр. в BGN]]*Table1[[#This Row],[Поръчано Количество]]</f>
        <v>0</v>
      </c>
      <c r="S410" t="str" cm="1">
        <f t="array" ref="S410">_xlfn.SWITCH(T410,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Aleksandrov</v>
      </c>
      <c r="T410" s="6" t="s">
        <v>434</v>
      </c>
    </row>
    <row r="411" spans="1:20">
      <c r="D411" s="28"/>
      <c r="G411" s="30"/>
      <c r="K411" s="28"/>
      <c r="M411" s="28"/>
    </row>
    <row r="412" spans="1:20">
      <c r="D412" s="28"/>
      <c r="G412" s="30"/>
      <c r="K412" s="28"/>
      <c r="M412" s="28"/>
    </row>
    <row r="413" spans="1:20">
      <c r="D413" s="28"/>
      <c r="G413" s="30"/>
      <c r="K413" s="28"/>
      <c r="M413" s="28"/>
    </row>
    <row r="414" spans="1:20">
      <c r="D414" s="28"/>
      <c r="G414" s="30"/>
      <c r="K414" s="28"/>
      <c r="M414" s="28"/>
    </row>
    <row r="415" spans="1:20">
      <c r="D415" s="28"/>
      <c r="G415" s="30"/>
      <c r="K415" s="28"/>
      <c r="M415" s="28"/>
    </row>
    <row r="416" spans="1:20">
      <c r="D416" s="28"/>
      <c r="G416" s="30"/>
      <c r="K416" s="28"/>
      <c r="M416" s="28"/>
    </row>
    <row r="417" spans="4:13">
      <c r="D417" s="28"/>
      <c r="G417" s="30"/>
      <c r="K417" s="28"/>
      <c r="M417" s="28"/>
    </row>
    <row r="418" spans="4:13">
      <c r="D418" s="28"/>
      <c r="G418" s="30"/>
      <c r="K418" s="28"/>
      <c r="M418" s="28"/>
    </row>
    <row r="419" spans="4:13">
      <c r="D419" s="28"/>
      <c r="G419" s="30"/>
      <c r="K419" s="28"/>
      <c r="M419" s="28"/>
    </row>
    <row r="420" spans="4:13">
      <c r="D420" s="28"/>
      <c r="G420" s="30"/>
      <c r="K420" s="28"/>
      <c r="M420" s="28"/>
    </row>
    <row r="421" spans="4:13">
      <c r="D421" s="28"/>
      <c r="G421" s="30"/>
      <c r="K421" s="28"/>
      <c r="M421" s="28"/>
    </row>
    <row r="422" spans="4:13">
      <c r="D422" s="28"/>
      <c r="G422" s="30"/>
      <c r="K422" s="28"/>
      <c r="M422" s="28"/>
    </row>
    <row r="423" spans="4:13">
      <c r="D423" s="28"/>
      <c r="G423" s="30"/>
      <c r="K423" s="28"/>
      <c r="M423" s="28"/>
    </row>
    <row r="424" spans="4:13">
      <c r="D424" s="28"/>
      <c r="G424" s="30"/>
      <c r="K424" s="28"/>
      <c r="M424" s="28"/>
    </row>
    <row r="425" spans="4:13">
      <c r="D425" s="28"/>
      <c r="G425" s="30"/>
      <c r="K425" s="28"/>
      <c r="M425" s="28"/>
    </row>
    <row r="426" spans="4:13">
      <c r="D426" s="28"/>
      <c r="G426" s="30"/>
      <c r="K426" s="28"/>
      <c r="M426" s="28"/>
    </row>
    <row r="427" spans="4:13">
      <c r="D427" s="28"/>
      <c r="G427" s="30"/>
      <c r="K427" s="28"/>
      <c r="M427" s="28"/>
    </row>
    <row r="428" spans="4:13">
      <c r="D428" s="28"/>
      <c r="G428" s="30"/>
      <c r="K428" s="28"/>
      <c r="M428" s="28"/>
    </row>
    <row r="429" spans="4:13">
      <c r="D429" s="28"/>
      <c r="G429" s="30"/>
      <c r="K429" s="28"/>
      <c r="M429" s="28"/>
    </row>
    <row r="430" spans="4:13">
      <c r="D430" s="28"/>
      <c r="G430" s="30"/>
      <c r="K430" s="28"/>
      <c r="M430" s="28"/>
    </row>
    <row r="431" spans="4:13">
      <c r="D431" s="28"/>
      <c r="G431" s="30"/>
      <c r="K431" s="28"/>
      <c r="M431" s="28"/>
    </row>
    <row r="432" spans="4:13">
      <c r="D432" s="28"/>
      <c r="G432" s="30"/>
      <c r="K432" s="28"/>
      <c r="M432" s="28"/>
    </row>
    <row r="433" spans="4:13">
      <c r="D433" s="28"/>
      <c r="G433" s="30"/>
      <c r="K433" s="28"/>
      <c r="M433" s="28"/>
    </row>
    <row r="434" spans="4:13">
      <c r="D434" s="28"/>
      <c r="G434" s="30"/>
      <c r="K434" s="28"/>
      <c r="M434" s="28"/>
    </row>
    <row r="435" spans="4:13">
      <c r="D435" s="28"/>
      <c r="G435" s="30"/>
      <c r="K435" s="28"/>
      <c r="M435" s="28"/>
    </row>
    <row r="436" spans="4:13">
      <c r="D436" s="28"/>
      <c r="G436" s="30"/>
      <c r="K436" s="28"/>
      <c r="M436" s="28"/>
    </row>
    <row r="437" spans="4:13">
      <c r="D437" s="28"/>
      <c r="G437" s="30"/>
      <c r="K437" s="28"/>
      <c r="M437" s="28"/>
    </row>
    <row r="438" spans="4:13">
      <c r="D438" s="28"/>
      <c r="G438" s="30"/>
      <c r="K438" s="28"/>
      <c r="M438" s="28"/>
    </row>
    <row r="439" spans="4:13">
      <c r="D439" s="28"/>
      <c r="G439" s="30"/>
      <c r="K439" s="28"/>
      <c r="M439" s="28"/>
    </row>
    <row r="440" spans="4:13">
      <c r="D440" s="28"/>
      <c r="G440" s="30"/>
      <c r="K440" s="28"/>
      <c r="M440" s="28"/>
    </row>
    <row r="441" spans="4:13">
      <c r="D441" s="28"/>
      <c r="G441" s="30"/>
      <c r="K441" s="28"/>
      <c r="M441" s="28"/>
    </row>
    <row r="442" spans="4:13">
      <c r="D442" s="28"/>
      <c r="G442" s="30"/>
      <c r="K442" s="28"/>
      <c r="M442" s="28"/>
    </row>
    <row r="443" spans="4:13">
      <c r="D443" s="28"/>
      <c r="G443" s="30"/>
      <c r="K443" s="28"/>
      <c r="M443" s="28"/>
    </row>
    <row r="444" spans="4:13">
      <c r="D444" s="28"/>
      <c r="G444" s="30"/>
      <c r="K444" s="28"/>
      <c r="M444" s="28"/>
    </row>
    <row r="445" spans="4:13">
      <c r="D445" s="28"/>
      <c r="G445" s="30"/>
      <c r="K445" s="28"/>
      <c r="M445" s="28"/>
    </row>
    <row r="446" spans="4:13">
      <c r="D446" s="28"/>
      <c r="G446" s="30"/>
      <c r="K446" s="28"/>
      <c r="M446" s="28"/>
    </row>
    <row r="447" spans="4:13">
      <c r="D447" s="28"/>
      <c r="G447" s="30"/>
      <c r="K447" s="28"/>
      <c r="M447" s="28"/>
    </row>
    <row r="448" spans="4:13">
      <c r="D448" s="28"/>
      <c r="G448" s="30"/>
      <c r="K448" s="28"/>
      <c r="M448" s="28"/>
    </row>
    <row r="449" spans="4:13">
      <c r="D449" s="28"/>
      <c r="G449" s="30"/>
      <c r="K449" s="28"/>
      <c r="M449" s="28"/>
    </row>
    <row r="450" spans="4:13">
      <c r="D450" s="28"/>
      <c r="G450" s="30"/>
      <c r="K450" s="28"/>
      <c r="M450" s="28"/>
    </row>
    <row r="451" spans="4:13">
      <c r="D451" s="28"/>
      <c r="G451" s="30"/>
      <c r="K451" s="28"/>
      <c r="M451" s="28"/>
    </row>
    <row r="452" spans="4:13">
      <c r="D452" s="28"/>
      <c r="G452" s="30"/>
      <c r="K452" s="28"/>
      <c r="M452" s="28"/>
    </row>
    <row r="453" spans="4:13">
      <c r="D453" s="28"/>
      <c r="G453" s="30"/>
      <c r="K453" s="28"/>
      <c r="M453" s="28"/>
    </row>
    <row r="454" spans="4:13">
      <c r="D454" s="28"/>
      <c r="G454" s="30"/>
      <c r="K454" s="28"/>
      <c r="M454" s="28"/>
    </row>
    <row r="455" spans="4:13">
      <c r="D455" s="28"/>
      <c r="G455" s="30"/>
      <c r="K455" s="28"/>
      <c r="M455" s="28"/>
    </row>
    <row r="456" spans="4:13">
      <c r="D456" s="28"/>
      <c r="G456" s="30"/>
      <c r="K456" s="28"/>
      <c r="M456" s="28"/>
    </row>
    <row r="457" spans="4:13">
      <c r="D457" s="28"/>
      <c r="G457" s="30"/>
      <c r="K457" s="28"/>
      <c r="M457" s="28"/>
    </row>
    <row r="458" spans="4:13">
      <c r="D458" s="28"/>
      <c r="G458" s="30"/>
      <c r="K458" s="28"/>
      <c r="M458" s="28"/>
    </row>
    <row r="459" spans="4:13">
      <c r="D459" s="28"/>
      <c r="G459" s="30"/>
      <c r="K459" s="28"/>
      <c r="M459" s="28"/>
    </row>
    <row r="460" spans="4:13">
      <c r="D460" s="28"/>
      <c r="G460" s="30"/>
      <c r="K460" s="28"/>
      <c r="M460" s="28"/>
    </row>
    <row r="461" spans="4:13">
      <c r="D461" s="28"/>
      <c r="G461" s="30"/>
      <c r="K461" s="28"/>
      <c r="M461" s="28"/>
    </row>
    <row r="462" spans="4:13">
      <c r="D462" s="28"/>
      <c r="G462" s="30"/>
      <c r="K462" s="28"/>
      <c r="M462" s="28"/>
    </row>
    <row r="463" spans="4:13">
      <c r="D463" s="28"/>
      <c r="G463" s="30"/>
      <c r="K463" s="28"/>
      <c r="M463" s="28"/>
    </row>
    <row r="464" spans="4:13">
      <c r="D464" s="28"/>
      <c r="G464" s="30"/>
      <c r="K464" s="28"/>
      <c r="M464" s="28"/>
    </row>
    <row r="465" spans="4:13">
      <c r="D465" s="28"/>
      <c r="G465" s="30"/>
      <c r="K465" s="28"/>
      <c r="M465" s="28"/>
    </row>
    <row r="466" spans="4:13">
      <c r="D466" s="28"/>
      <c r="G466" s="30"/>
      <c r="K466" s="28"/>
      <c r="M466" s="28"/>
    </row>
    <row r="467" spans="4:13">
      <c r="D467" s="28"/>
      <c r="G467" s="30"/>
      <c r="K467" s="28"/>
      <c r="M467" s="28"/>
    </row>
    <row r="468" spans="4:13">
      <c r="D468" s="28"/>
      <c r="G468" s="30"/>
      <c r="K468" s="28"/>
      <c r="M468" s="28"/>
    </row>
    <row r="469" spans="4:13">
      <c r="D469" s="28"/>
      <c r="G469" s="30"/>
      <c r="K469" s="28"/>
      <c r="M469" s="28"/>
    </row>
    <row r="470" spans="4:13">
      <c r="D470" s="28"/>
      <c r="G470" s="30"/>
      <c r="K470" s="28"/>
      <c r="M470" s="28"/>
    </row>
    <row r="471" spans="4:13">
      <c r="D471" s="28"/>
      <c r="G471" s="30"/>
      <c r="K471" s="28"/>
      <c r="M471" s="28"/>
    </row>
    <row r="472" spans="4:13">
      <c r="D472" s="28"/>
      <c r="G472" s="30"/>
      <c r="K472" s="28"/>
      <c r="M472" s="28"/>
    </row>
    <row r="473" spans="4:13">
      <c r="D473" s="28"/>
      <c r="G473" s="30"/>
      <c r="K473" s="28"/>
      <c r="M473" s="28"/>
    </row>
    <row r="474" spans="4:13">
      <c r="D474" s="28"/>
      <c r="G474" s="30"/>
      <c r="K474" s="28"/>
      <c r="M474" s="28"/>
    </row>
    <row r="475" spans="4:13">
      <c r="D475" s="28"/>
      <c r="G475" s="30"/>
      <c r="K475" s="28"/>
      <c r="M475" s="28"/>
    </row>
    <row r="476" spans="4:13">
      <c r="D476" s="28"/>
      <c r="G476" s="30"/>
      <c r="K476" s="28"/>
      <c r="M476" s="28"/>
    </row>
    <row r="477" spans="4:13">
      <c r="D477" s="28"/>
      <c r="G477" s="30"/>
      <c r="K477" s="28"/>
      <c r="M477" s="28"/>
    </row>
    <row r="478" spans="4:13">
      <c r="D478" s="28"/>
      <c r="G478" s="30"/>
      <c r="K478" s="28"/>
      <c r="M478" s="28"/>
    </row>
    <row r="479" spans="4:13">
      <c r="D479" s="28"/>
      <c r="G479" s="30"/>
      <c r="K479" s="28"/>
      <c r="M479" s="28"/>
    </row>
    <row r="480" spans="4:13">
      <c r="D480" s="28"/>
      <c r="G480" s="30"/>
      <c r="K480" s="28"/>
      <c r="M480" s="28"/>
    </row>
    <row r="481" spans="4:13">
      <c r="D481" s="28"/>
      <c r="G481" s="30"/>
      <c r="K481" s="28"/>
      <c r="M481" s="28"/>
    </row>
    <row r="482" spans="4:13">
      <c r="D482" s="28"/>
      <c r="G482" s="30"/>
      <c r="K482" s="28"/>
      <c r="M482" s="28"/>
    </row>
    <row r="483" spans="4:13">
      <c r="D483" s="28"/>
      <c r="G483" s="30"/>
      <c r="K483" s="28"/>
      <c r="M483" s="28"/>
    </row>
    <row r="484" spans="4:13">
      <c r="D484" s="28"/>
      <c r="G484" s="30"/>
      <c r="K484" s="28"/>
      <c r="M484" s="28"/>
    </row>
    <row r="485" spans="4:13">
      <c r="D485" s="28"/>
      <c r="G485" s="30"/>
      <c r="K485" s="28"/>
      <c r="M485" s="28"/>
    </row>
    <row r="486" spans="4:13">
      <c r="D486" s="28"/>
      <c r="G486" s="30"/>
      <c r="K486" s="28"/>
      <c r="M486" s="28"/>
    </row>
    <row r="487" spans="4:13">
      <c r="D487" s="28"/>
      <c r="G487" s="30"/>
      <c r="K487" s="28"/>
      <c r="M487" s="28"/>
    </row>
    <row r="488" spans="4:13">
      <c r="D488" s="28"/>
      <c r="G488" s="30"/>
      <c r="K488" s="28"/>
      <c r="M488" s="28"/>
    </row>
    <row r="489" spans="4:13">
      <c r="D489" s="28"/>
      <c r="G489" s="30"/>
      <c r="K489" s="28"/>
      <c r="M489" s="28"/>
    </row>
    <row r="490" spans="4:13">
      <c r="D490" s="28"/>
      <c r="G490" s="30"/>
      <c r="K490" s="28"/>
      <c r="M490" s="28"/>
    </row>
    <row r="491" spans="4:13">
      <c r="D491" s="28"/>
      <c r="G491" s="30"/>
      <c r="K491" s="28"/>
      <c r="M491" s="28"/>
    </row>
    <row r="492" spans="4:13">
      <c r="D492" s="28"/>
      <c r="G492" s="30"/>
      <c r="K492" s="28"/>
      <c r="M492" s="28"/>
    </row>
    <row r="493" spans="4:13">
      <c r="D493" s="28"/>
      <c r="G493" s="30"/>
      <c r="K493" s="28"/>
      <c r="M493" s="28"/>
    </row>
    <row r="494" spans="4:13">
      <c r="D494" s="28"/>
      <c r="G494" s="30"/>
      <c r="K494" s="28"/>
      <c r="M494" s="28"/>
    </row>
    <row r="495" spans="4:13">
      <c r="D495" s="28"/>
      <c r="G495" s="30"/>
      <c r="K495" s="28"/>
      <c r="M495" s="28"/>
    </row>
    <row r="496" spans="4:13">
      <c r="D496" s="28"/>
      <c r="G496" s="30"/>
      <c r="K496" s="28"/>
      <c r="M496" s="28"/>
    </row>
    <row r="497" spans="4:13">
      <c r="D497" s="28"/>
      <c r="G497" s="30"/>
      <c r="K497" s="28"/>
      <c r="M497" s="28"/>
    </row>
    <row r="498" spans="4:13">
      <c r="D498" s="28"/>
      <c r="G498" s="30"/>
      <c r="K498" s="28"/>
      <c r="M498" s="28"/>
    </row>
    <row r="499" spans="4:13">
      <c r="D499" s="28"/>
      <c r="G499" s="30"/>
      <c r="K499" s="28"/>
      <c r="M499" s="28"/>
    </row>
    <row r="500" spans="4:13">
      <c r="D500" s="28"/>
      <c r="G500" s="30"/>
      <c r="K500" s="28"/>
      <c r="M500" s="28"/>
    </row>
    <row r="501" spans="4:13">
      <c r="D501" s="28"/>
      <c r="G501" s="30"/>
      <c r="K501" s="28"/>
      <c r="M501" s="28"/>
    </row>
    <row r="502" spans="4:13">
      <c r="D502" s="28"/>
      <c r="G502" s="30"/>
      <c r="K502" s="28"/>
      <c r="M502" s="28"/>
    </row>
    <row r="503" spans="4:13">
      <c r="D503" s="28"/>
      <c r="G503" s="30"/>
      <c r="K503" s="28"/>
      <c r="M503" s="28"/>
    </row>
    <row r="504" spans="4:13">
      <c r="D504" s="28"/>
      <c r="G504" s="30"/>
      <c r="K504" s="28"/>
      <c r="M504" s="28"/>
    </row>
    <row r="505" spans="4:13">
      <c r="D505" s="28"/>
      <c r="G505" s="30"/>
      <c r="K505" s="28"/>
      <c r="M505" s="28"/>
    </row>
    <row r="506" spans="4:13">
      <c r="D506" s="28"/>
      <c r="G506" s="30"/>
      <c r="K506" s="28"/>
      <c r="M506" s="28"/>
    </row>
    <row r="507" spans="4:13">
      <c r="D507" s="28"/>
      <c r="G507" s="30"/>
      <c r="K507" s="28"/>
      <c r="M507" s="28"/>
    </row>
    <row r="508" spans="4:13">
      <c r="D508" s="28"/>
      <c r="G508" s="30"/>
      <c r="K508" s="28"/>
      <c r="M508" s="28"/>
    </row>
    <row r="509" spans="4:13">
      <c r="D509" s="28"/>
      <c r="G509" s="30"/>
      <c r="K509" s="28"/>
      <c r="M509" s="28"/>
    </row>
    <row r="510" spans="4:13">
      <c r="D510" s="28"/>
      <c r="G510" s="30"/>
      <c r="K510" s="28"/>
      <c r="M510" s="28"/>
    </row>
    <row r="511" spans="4:13">
      <c r="D511" s="28"/>
      <c r="G511" s="30"/>
      <c r="K511" s="28"/>
      <c r="M511" s="28"/>
    </row>
    <row r="512" spans="4:13">
      <c r="D512" s="28"/>
      <c r="G512" s="30"/>
      <c r="K512" s="28"/>
      <c r="M512" s="28"/>
    </row>
    <row r="513" spans="4:13">
      <c r="D513" s="28"/>
      <c r="G513" s="30"/>
      <c r="K513" s="28"/>
      <c r="M513" s="28"/>
    </row>
    <row r="514" spans="4:13">
      <c r="D514" s="28"/>
      <c r="G514" s="30"/>
      <c r="K514" s="28"/>
      <c r="M514" s="28"/>
    </row>
    <row r="515" spans="4:13">
      <c r="D515" s="28"/>
      <c r="G515" s="30"/>
      <c r="K515" s="28"/>
      <c r="M515" s="28"/>
    </row>
    <row r="516" spans="4:13">
      <c r="D516" s="28"/>
      <c r="G516" s="30"/>
      <c r="K516" s="28"/>
      <c r="M516" s="28"/>
    </row>
    <row r="517" spans="4:13">
      <c r="D517" s="28"/>
      <c r="G517" s="30"/>
      <c r="K517" s="28"/>
      <c r="M517" s="28"/>
    </row>
    <row r="518" spans="4:13">
      <c r="D518" s="28"/>
      <c r="G518" s="30"/>
      <c r="K518" s="28"/>
      <c r="M518" s="28"/>
    </row>
    <row r="519" spans="4:13">
      <c r="D519" s="28"/>
      <c r="G519" s="30"/>
      <c r="K519" s="28"/>
      <c r="M519" s="28"/>
    </row>
    <row r="520" spans="4:13">
      <c r="D520" s="28"/>
      <c r="G520" s="30"/>
      <c r="K520" s="28"/>
      <c r="M520" s="28"/>
    </row>
    <row r="521" spans="4:13">
      <c r="D521" s="28"/>
      <c r="G521" s="30"/>
      <c r="K521" s="28"/>
      <c r="M521" s="28"/>
    </row>
    <row r="522" spans="4:13">
      <c r="D522" s="28"/>
      <c r="G522" s="30"/>
      <c r="K522" s="28"/>
      <c r="M522" s="28"/>
    </row>
    <row r="523" spans="4:13">
      <c r="D523" s="28"/>
      <c r="G523" s="30"/>
      <c r="K523" s="28"/>
      <c r="M523" s="28"/>
    </row>
    <row r="524" spans="4:13">
      <c r="D524" s="28"/>
      <c r="G524" s="30"/>
      <c r="K524" s="28"/>
      <c r="M524" s="28"/>
    </row>
    <row r="525" spans="4:13">
      <c r="D525" s="28"/>
      <c r="G525" s="30"/>
      <c r="K525" s="28"/>
      <c r="M525" s="28"/>
    </row>
    <row r="526" spans="4:13">
      <c r="D526" s="28"/>
      <c r="G526" s="30"/>
      <c r="K526" s="28"/>
      <c r="M526" s="28"/>
    </row>
    <row r="527" spans="4:13">
      <c r="D527" s="28"/>
      <c r="G527" s="30"/>
      <c r="K527" s="28"/>
      <c r="M527" s="28"/>
    </row>
    <row r="528" spans="4:13">
      <c r="D528" s="28"/>
      <c r="G528" s="30"/>
      <c r="K528" s="28"/>
      <c r="M528" s="28"/>
    </row>
    <row r="529" spans="4:13">
      <c r="D529" s="28"/>
      <c r="G529" s="30"/>
      <c r="K529" s="28"/>
      <c r="M529" s="28"/>
    </row>
    <row r="530" spans="4:13">
      <c r="D530" s="28"/>
      <c r="G530" s="30"/>
      <c r="K530" s="28"/>
      <c r="M530" s="28"/>
    </row>
    <row r="531" spans="4:13">
      <c r="D531" s="28"/>
      <c r="G531" s="30"/>
      <c r="K531" s="28"/>
      <c r="M531" s="28"/>
    </row>
    <row r="532" spans="4:13">
      <c r="D532" s="28"/>
      <c r="G532" s="30"/>
      <c r="K532" s="28"/>
      <c r="M532" s="28"/>
    </row>
    <row r="533" spans="4:13">
      <c r="D533" s="28"/>
      <c r="G533" s="30"/>
      <c r="K533" s="28"/>
      <c r="M533" s="28"/>
    </row>
    <row r="534" spans="4:13">
      <c r="D534" s="28"/>
      <c r="G534" s="30"/>
      <c r="K534" s="28"/>
      <c r="M534" s="28"/>
    </row>
    <row r="535" spans="4:13">
      <c r="D535" s="28"/>
      <c r="G535" s="30"/>
      <c r="K535" s="28"/>
      <c r="M535" s="28"/>
    </row>
    <row r="536" spans="4:13">
      <c r="D536" s="28"/>
      <c r="G536" s="30"/>
      <c r="K536" s="28"/>
      <c r="M536" s="28"/>
    </row>
    <row r="537" spans="4:13">
      <c r="D537" s="28"/>
      <c r="G537" s="30"/>
      <c r="K537" s="28"/>
      <c r="M537" s="28"/>
    </row>
    <row r="538" spans="4:13">
      <c r="D538" s="28"/>
      <c r="G538" s="30"/>
      <c r="K538" s="28"/>
      <c r="M538" s="28"/>
    </row>
    <row r="539" spans="4:13">
      <c r="D539" s="28"/>
      <c r="G539" s="30"/>
      <c r="K539" s="28"/>
      <c r="M539" s="28"/>
    </row>
    <row r="540" spans="4:13">
      <c r="D540" s="28"/>
      <c r="G540" s="30"/>
      <c r="K540" s="28"/>
      <c r="M540" s="28"/>
    </row>
    <row r="541" spans="4:13">
      <c r="D541" s="28"/>
      <c r="G541" s="30"/>
      <c r="K541" s="28"/>
      <c r="M541" s="28"/>
    </row>
    <row r="542" spans="4:13">
      <c r="D542" s="28"/>
      <c r="G542" s="30"/>
      <c r="K542" s="28"/>
      <c r="M542" s="28"/>
    </row>
    <row r="543" spans="4:13">
      <c r="D543" s="28"/>
      <c r="G543" s="30"/>
      <c r="K543" s="28"/>
      <c r="M543" s="28"/>
    </row>
    <row r="544" spans="4:13">
      <c r="D544" s="28"/>
      <c r="G544" s="30"/>
      <c r="K544" s="28"/>
      <c r="M544" s="28"/>
    </row>
    <row r="545" spans="4:13">
      <c r="D545" s="28"/>
      <c r="G545" s="30"/>
      <c r="K545" s="28"/>
      <c r="M545" s="28"/>
    </row>
    <row r="546" spans="4:13">
      <c r="D546" s="28"/>
      <c r="G546" s="30"/>
      <c r="K546" s="28"/>
      <c r="M546" s="28"/>
    </row>
    <row r="547" spans="4:13">
      <c r="D547" s="28"/>
      <c r="G547" s="30"/>
      <c r="K547" s="28"/>
      <c r="M547" s="28"/>
    </row>
    <row r="548" spans="4:13">
      <c r="D548" s="28"/>
      <c r="G548" s="30"/>
      <c r="K548" s="28"/>
      <c r="M548" s="28"/>
    </row>
    <row r="549" spans="4:13">
      <c r="D549" s="28"/>
      <c r="G549" s="30"/>
      <c r="K549" s="28"/>
      <c r="M549" s="28"/>
    </row>
    <row r="550" spans="4:13">
      <c r="D550" s="28"/>
      <c r="G550" s="30"/>
      <c r="K550" s="28"/>
      <c r="M550" s="28"/>
    </row>
    <row r="551" spans="4:13">
      <c r="D551" s="28"/>
      <c r="G551" s="30"/>
      <c r="K551" s="28"/>
      <c r="M551" s="28"/>
    </row>
    <row r="552" spans="4:13">
      <c r="D552" s="28"/>
      <c r="G552" s="30"/>
      <c r="K552" s="28"/>
      <c r="M552" s="28"/>
    </row>
    <row r="553" spans="4:13">
      <c r="D553" s="28"/>
      <c r="G553" s="30"/>
      <c r="K553" s="28"/>
      <c r="M553" s="28"/>
    </row>
    <row r="554" spans="4:13">
      <c r="D554" s="28"/>
      <c r="G554" s="30"/>
      <c r="K554" s="28"/>
      <c r="M554" s="28"/>
    </row>
    <row r="555" spans="4:13">
      <c r="D555" s="28"/>
      <c r="G555" s="30"/>
      <c r="K555" s="28"/>
      <c r="M555" s="28"/>
    </row>
    <row r="556" spans="4:13">
      <c r="D556" s="28"/>
      <c r="G556" s="30"/>
      <c r="K556" s="28"/>
      <c r="M556" s="28"/>
    </row>
    <row r="557" spans="4:13">
      <c r="D557" s="28"/>
      <c r="G557" s="30"/>
      <c r="K557" s="28"/>
      <c r="M557" s="28"/>
    </row>
    <row r="558" spans="4:13">
      <c r="D558" s="28"/>
      <c r="G558" s="30"/>
      <c r="K558" s="28"/>
      <c r="M558" s="28"/>
    </row>
    <row r="559" spans="4:13">
      <c r="D559" s="28"/>
      <c r="G559" s="30"/>
      <c r="K559" s="28"/>
      <c r="M559" s="28"/>
    </row>
    <row r="560" spans="4:13">
      <c r="D560" s="28"/>
      <c r="G560" s="30"/>
      <c r="K560" s="28"/>
      <c r="M560" s="28"/>
    </row>
    <row r="561" spans="4:13">
      <c r="D561" s="28"/>
      <c r="G561" s="30"/>
      <c r="K561" s="28"/>
      <c r="M561" s="28"/>
    </row>
    <row r="562" spans="4:13">
      <c r="D562" s="28"/>
      <c r="G562" s="30"/>
      <c r="K562" s="28"/>
      <c r="M562" s="28"/>
    </row>
    <row r="563" spans="4:13">
      <c r="D563" s="28"/>
      <c r="G563" s="30"/>
      <c r="K563" s="28"/>
      <c r="M563" s="28"/>
    </row>
    <row r="564" spans="4:13">
      <c r="D564" s="28"/>
      <c r="G564" s="30"/>
      <c r="K564" s="28"/>
      <c r="M564" s="28"/>
    </row>
    <row r="565" spans="4:13">
      <c r="D565" s="28"/>
      <c r="G565" s="30"/>
      <c r="K565" s="28"/>
      <c r="M565" s="28"/>
    </row>
    <row r="566" spans="4:13">
      <c r="D566" s="28"/>
      <c r="G566" s="30"/>
      <c r="K566" s="28"/>
      <c r="M566" s="28"/>
    </row>
    <row r="567" spans="4:13">
      <c r="D567" s="28"/>
      <c r="G567" s="30"/>
      <c r="K567" s="28"/>
      <c r="M567" s="28"/>
    </row>
    <row r="568" spans="4:13">
      <c r="D568" s="28"/>
      <c r="G568" s="30"/>
      <c r="K568" s="28"/>
      <c r="M568" s="28"/>
    </row>
    <row r="569" spans="4:13">
      <c r="D569" s="28"/>
      <c r="G569" s="30"/>
      <c r="K569" s="28"/>
      <c r="M569" s="28"/>
    </row>
    <row r="570" spans="4:13">
      <c r="D570" s="28"/>
      <c r="G570" s="30"/>
      <c r="K570" s="28"/>
      <c r="M570" s="28"/>
    </row>
    <row r="571" spans="4:13">
      <c r="D571" s="28"/>
      <c r="G571" s="30"/>
      <c r="K571" s="28"/>
      <c r="M571" s="28"/>
    </row>
    <row r="572" spans="4:13">
      <c r="D572" s="28"/>
      <c r="G572" s="30"/>
      <c r="K572" s="28"/>
      <c r="M572" s="28"/>
    </row>
    <row r="573" spans="4:13">
      <c r="D573" s="28"/>
      <c r="G573" s="30"/>
      <c r="K573" s="28"/>
      <c r="M573" s="28"/>
    </row>
    <row r="574" spans="4:13">
      <c r="D574" s="28"/>
      <c r="G574" s="30"/>
      <c r="K574" s="28"/>
      <c r="M574" s="28"/>
    </row>
    <row r="575" spans="4:13">
      <c r="D575" s="28"/>
      <c r="G575" s="30"/>
      <c r="K575" s="28"/>
      <c r="M575" s="28"/>
    </row>
    <row r="576" spans="4:13">
      <c r="D576" s="28"/>
      <c r="G576" s="30"/>
      <c r="K576" s="28"/>
      <c r="M576" s="28"/>
    </row>
    <row r="577" spans="4:13">
      <c r="D577" s="28"/>
      <c r="G577" s="30"/>
      <c r="K577" s="28"/>
      <c r="M577" s="28"/>
    </row>
    <row r="578" spans="4:13">
      <c r="D578" s="28"/>
      <c r="G578" s="30"/>
      <c r="K578" s="28"/>
      <c r="M578" s="28"/>
    </row>
    <row r="579" spans="4:13">
      <c r="D579" s="28"/>
      <c r="G579" s="30"/>
      <c r="K579" s="28"/>
      <c r="M579" s="28"/>
    </row>
    <row r="580" spans="4:13">
      <c r="D580" s="28"/>
      <c r="G580" s="30"/>
      <c r="K580" s="28"/>
      <c r="M580" s="28"/>
    </row>
    <row r="581" spans="4:13">
      <c r="D581" s="28"/>
      <c r="G581" s="30"/>
      <c r="K581" s="28"/>
      <c r="M581" s="28"/>
    </row>
    <row r="582" spans="4:13">
      <c r="D582" s="28"/>
      <c r="G582" s="30"/>
      <c r="K582" s="28"/>
      <c r="M582" s="28"/>
    </row>
    <row r="583" spans="4:13">
      <c r="D583" s="28"/>
      <c r="G583" s="30"/>
      <c r="K583" s="28"/>
      <c r="M583" s="28"/>
    </row>
    <row r="584" spans="4:13">
      <c r="D584" s="28"/>
      <c r="G584" s="30"/>
      <c r="K584" s="28"/>
      <c r="M584" s="28"/>
    </row>
    <row r="585" spans="4:13">
      <c r="D585" s="28"/>
      <c r="G585" s="30"/>
      <c r="K585" s="28"/>
      <c r="M585" s="28"/>
    </row>
    <row r="586" spans="4:13">
      <c r="D586" s="28"/>
      <c r="G586" s="30"/>
      <c r="K586" s="28"/>
      <c r="M586" s="28"/>
    </row>
    <row r="587" spans="4:13">
      <c r="D587" s="28"/>
      <c r="G587" s="30"/>
      <c r="K587" s="28"/>
      <c r="M587" s="28"/>
    </row>
    <row r="588" spans="4:13">
      <c r="D588" s="28"/>
      <c r="G588" s="30"/>
      <c r="K588" s="28"/>
      <c r="M588" s="28"/>
    </row>
    <row r="589" spans="4:13">
      <c r="D589" s="28"/>
      <c r="G589" s="30"/>
      <c r="K589" s="28"/>
      <c r="M589" s="28"/>
    </row>
    <row r="590" spans="4:13">
      <c r="D590" s="28"/>
      <c r="G590" s="30"/>
      <c r="K590" s="28"/>
      <c r="M590" s="28"/>
    </row>
    <row r="591" spans="4:13">
      <c r="D591" s="28"/>
      <c r="G591" s="30"/>
      <c r="K591" s="28"/>
      <c r="M591" s="28"/>
    </row>
    <row r="592" spans="4:13">
      <c r="D592" s="28"/>
      <c r="G592" s="30"/>
      <c r="K592" s="28"/>
      <c r="M592" s="28"/>
    </row>
    <row r="593" spans="4:13">
      <c r="D593" s="28"/>
      <c r="G593" s="30"/>
      <c r="K593" s="28"/>
      <c r="M593" s="28"/>
    </row>
    <row r="594" spans="4:13">
      <c r="D594" s="28"/>
      <c r="G594" s="30"/>
      <c r="K594" s="28"/>
      <c r="M594" s="28"/>
    </row>
    <row r="595" spans="4:13">
      <c r="D595" s="28"/>
      <c r="G595" s="30"/>
      <c r="K595" s="28"/>
      <c r="M595" s="28"/>
    </row>
    <row r="596" spans="4:13">
      <c r="D596" s="28"/>
      <c r="G596" s="30"/>
      <c r="K596" s="28"/>
      <c r="M596" s="28"/>
    </row>
    <row r="597" spans="4:13">
      <c r="D597" s="28"/>
      <c r="G597" s="30"/>
      <c r="K597" s="28"/>
      <c r="M597" s="28"/>
    </row>
    <row r="598" spans="4:13">
      <c r="D598" s="28"/>
      <c r="G598" s="30"/>
      <c r="K598" s="28"/>
      <c r="M598" s="28"/>
    </row>
    <row r="599" spans="4:13">
      <c r="D599" s="28"/>
      <c r="G599" s="30"/>
      <c r="K599" s="28"/>
      <c r="M599" s="28"/>
    </row>
    <row r="600" spans="4:13">
      <c r="D600" s="28"/>
      <c r="G600" s="30"/>
      <c r="K600" s="28"/>
      <c r="M600" s="28"/>
    </row>
    <row r="601" spans="4:13">
      <c r="D601" s="28"/>
      <c r="G601" s="30"/>
      <c r="K601" s="28"/>
      <c r="M601" s="28"/>
    </row>
    <row r="602" spans="4:13">
      <c r="D602" s="28"/>
      <c r="G602" s="30"/>
      <c r="K602" s="28"/>
      <c r="M602" s="28"/>
    </row>
    <row r="603" spans="4:13">
      <c r="D603" s="28"/>
      <c r="G603" s="30"/>
      <c r="K603" s="28"/>
      <c r="M603" s="28"/>
    </row>
    <row r="604" spans="4:13">
      <c r="D604" s="28"/>
      <c r="G604" s="30"/>
      <c r="K604" s="28"/>
      <c r="M604" s="28"/>
    </row>
    <row r="605" spans="4:13">
      <c r="D605" s="28"/>
      <c r="G605" s="30"/>
      <c r="K605" s="28"/>
      <c r="M605" s="28"/>
    </row>
    <row r="606" spans="4:13">
      <c r="D606" s="28"/>
      <c r="G606" s="30"/>
      <c r="K606" s="28"/>
      <c r="M606" s="28"/>
    </row>
    <row r="607" spans="4:13">
      <c r="D607" s="28"/>
      <c r="G607" s="30"/>
      <c r="K607" s="28"/>
      <c r="M607" s="28"/>
    </row>
    <row r="608" spans="4:13">
      <c r="D608" s="28"/>
      <c r="G608" s="30"/>
      <c r="K608" s="28"/>
      <c r="M608" s="28"/>
    </row>
    <row r="609" spans="4:13">
      <c r="D609" s="28"/>
      <c r="G609" s="30"/>
      <c r="K609" s="28"/>
      <c r="M609" s="28"/>
    </row>
    <row r="610" spans="4:13">
      <c r="D610" s="28"/>
      <c r="G610" s="30"/>
      <c r="K610" s="28"/>
      <c r="M610" s="28"/>
    </row>
    <row r="611" spans="4:13">
      <c r="D611" s="28"/>
      <c r="G611" s="30"/>
      <c r="K611" s="28"/>
      <c r="M611" s="28"/>
    </row>
    <row r="612" spans="4:13">
      <c r="D612" s="28"/>
      <c r="G612" s="30"/>
      <c r="K612" s="28"/>
      <c r="M612" s="28"/>
    </row>
    <row r="613" spans="4:13">
      <c r="D613" s="28"/>
      <c r="G613" s="30"/>
      <c r="K613" s="28"/>
      <c r="M613" s="28"/>
    </row>
    <row r="614" spans="4:13">
      <c r="D614" s="28"/>
      <c r="G614" s="30"/>
      <c r="K614" s="28"/>
      <c r="M614" s="28"/>
    </row>
    <row r="615" spans="4:13">
      <c r="D615" s="28"/>
      <c r="G615" s="30"/>
      <c r="K615" s="28"/>
      <c r="M615" s="28"/>
    </row>
    <row r="616" spans="4:13">
      <c r="D616" s="28"/>
      <c r="G616" s="30"/>
      <c r="K616" s="28"/>
      <c r="M616" s="28"/>
    </row>
    <row r="617" spans="4:13">
      <c r="D617" s="28"/>
      <c r="G617" s="30"/>
      <c r="K617" s="28"/>
      <c r="M617" s="28"/>
    </row>
    <row r="618" spans="4:13">
      <c r="D618" s="28"/>
      <c r="G618" s="30"/>
      <c r="K618" s="28"/>
      <c r="M618" s="28"/>
    </row>
    <row r="619" spans="4:13">
      <c r="D619" s="28"/>
      <c r="G619" s="30"/>
      <c r="K619" s="28"/>
      <c r="M619" s="28"/>
    </row>
    <row r="620" spans="4:13">
      <c r="D620" s="28"/>
      <c r="G620" s="30"/>
      <c r="K620" s="28"/>
      <c r="M620" s="28"/>
    </row>
    <row r="621" spans="4:13">
      <c r="D621" s="28"/>
      <c r="G621" s="30"/>
      <c r="K621" s="28"/>
      <c r="M621" s="28"/>
    </row>
    <row r="622" spans="4:13">
      <c r="D622" s="28"/>
      <c r="G622" s="30"/>
      <c r="K622" s="28"/>
      <c r="M622" s="28"/>
    </row>
    <row r="623" spans="4:13">
      <c r="D623" s="28"/>
      <c r="G623" s="30"/>
      <c r="K623" s="28"/>
      <c r="M623" s="28"/>
    </row>
    <row r="624" spans="4:13">
      <c r="D624" s="28"/>
      <c r="G624" s="30"/>
      <c r="K624" s="28"/>
      <c r="M624" s="28"/>
    </row>
    <row r="625" spans="4:13">
      <c r="D625" s="28"/>
      <c r="G625" s="30"/>
      <c r="K625" s="28"/>
      <c r="M625" s="28"/>
    </row>
    <row r="626" spans="4:13">
      <c r="D626" s="28"/>
      <c r="G626" s="30"/>
      <c r="K626" s="28"/>
      <c r="M626" s="28"/>
    </row>
    <row r="627" spans="4:13">
      <c r="D627" s="28"/>
      <c r="G627" s="30"/>
      <c r="K627" s="28"/>
      <c r="M627" s="28"/>
    </row>
    <row r="628" spans="4:13">
      <c r="D628" s="28"/>
      <c r="G628" s="30"/>
      <c r="K628" s="28"/>
      <c r="M628" s="28"/>
    </row>
    <row r="629" spans="4:13">
      <c r="D629" s="28"/>
      <c r="G629" s="30"/>
      <c r="K629" s="28"/>
      <c r="M629" s="28"/>
    </row>
    <row r="630" spans="4:13">
      <c r="D630" s="28"/>
      <c r="G630" s="30"/>
      <c r="K630" s="28"/>
      <c r="M630" s="28"/>
    </row>
    <row r="631" spans="4:13">
      <c r="D631" s="28"/>
      <c r="G631" s="30"/>
      <c r="K631" s="28"/>
      <c r="M631" s="28"/>
    </row>
    <row r="632" spans="4:13">
      <c r="D632" s="28"/>
      <c r="G632" s="30"/>
      <c r="K632" s="28"/>
      <c r="M632" s="28"/>
    </row>
    <row r="633" spans="4:13">
      <c r="D633" s="28"/>
      <c r="G633" s="30"/>
      <c r="K633" s="28"/>
      <c r="M633" s="28"/>
    </row>
    <row r="634" spans="4:13">
      <c r="D634" s="28"/>
      <c r="G634" s="30"/>
      <c r="K634" s="28"/>
      <c r="M634" s="28"/>
    </row>
    <row r="635" spans="4:13">
      <c r="D635" s="28"/>
      <c r="G635" s="30"/>
      <c r="K635" s="28"/>
      <c r="M635" s="28"/>
    </row>
    <row r="636" spans="4:13">
      <c r="D636" s="28"/>
      <c r="G636" s="30"/>
      <c r="K636" s="28"/>
      <c r="M636" s="28"/>
    </row>
    <row r="637" spans="4:13">
      <c r="D637" s="28"/>
      <c r="G637" s="30"/>
      <c r="K637" s="28"/>
      <c r="M637" s="28"/>
    </row>
    <row r="638" spans="4:13">
      <c r="D638" s="28"/>
      <c r="G638" s="30"/>
      <c r="K638" s="28"/>
      <c r="M638" s="28"/>
    </row>
    <row r="639" spans="4:13">
      <c r="D639" s="28"/>
      <c r="G639" s="30"/>
      <c r="K639" s="28"/>
      <c r="M639" s="28"/>
    </row>
    <row r="640" spans="4:13">
      <c r="D640" s="28"/>
      <c r="G640" s="30"/>
      <c r="K640" s="28"/>
      <c r="M640" s="28"/>
    </row>
    <row r="641" spans="4:13">
      <c r="D641" s="28"/>
      <c r="G641" s="30"/>
      <c r="K641" s="28"/>
      <c r="M641" s="28"/>
    </row>
    <row r="642" spans="4:13">
      <c r="D642" s="28"/>
      <c r="G642" s="30"/>
      <c r="K642" s="28"/>
      <c r="M642" s="28"/>
    </row>
    <row r="643" spans="4:13">
      <c r="D643" s="28"/>
      <c r="G643" s="30"/>
      <c r="K643" s="28"/>
      <c r="M643" s="28"/>
    </row>
    <row r="644" spans="4:13">
      <c r="D644" s="28"/>
      <c r="G644" s="30"/>
      <c r="K644" s="28"/>
      <c r="M644" s="28"/>
    </row>
    <row r="645" spans="4:13">
      <c r="D645" s="28"/>
      <c r="G645" s="30"/>
      <c r="K645" s="28"/>
      <c r="M645" s="28"/>
    </row>
    <row r="646" spans="4:13">
      <c r="D646" s="28"/>
      <c r="G646" s="30"/>
      <c r="K646" s="28"/>
      <c r="M646" s="28"/>
    </row>
    <row r="647" spans="4:13">
      <c r="D647" s="28"/>
      <c r="G647" s="30"/>
      <c r="K647" s="28"/>
      <c r="M647" s="28"/>
    </row>
    <row r="648" spans="4:13">
      <c r="D648" s="28"/>
      <c r="G648" s="30"/>
      <c r="K648" s="28"/>
      <c r="M648" s="28"/>
    </row>
    <row r="649" spans="4:13">
      <c r="D649" s="28"/>
      <c r="G649" s="30"/>
      <c r="K649" s="28"/>
      <c r="M649" s="28"/>
    </row>
    <row r="650" spans="4:13">
      <c r="D650" s="28"/>
      <c r="G650" s="30"/>
      <c r="K650" s="28"/>
      <c r="M650" s="28"/>
    </row>
    <row r="651" spans="4:13">
      <c r="D651" s="28"/>
      <c r="G651" s="30"/>
      <c r="K651" s="28"/>
      <c r="M651" s="28"/>
    </row>
    <row r="652" spans="4:13">
      <c r="D652" s="28"/>
      <c r="G652" s="30"/>
      <c r="K652" s="28"/>
      <c r="M652" s="28"/>
    </row>
    <row r="653" spans="4:13">
      <c r="D653" s="28"/>
      <c r="G653" s="30"/>
      <c r="K653" s="28"/>
      <c r="M653" s="28"/>
    </row>
    <row r="654" spans="4:13">
      <c r="D654" s="28"/>
      <c r="G654" s="30"/>
      <c r="K654" s="28"/>
      <c r="M654" s="28"/>
    </row>
    <row r="655" spans="4:13">
      <c r="D655" s="28"/>
      <c r="G655" s="30"/>
      <c r="K655" s="28"/>
      <c r="M655" s="28"/>
    </row>
    <row r="656" spans="4:13">
      <c r="D656" s="28"/>
      <c r="G656" s="30"/>
      <c r="K656" s="28"/>
      <c r="M656" s="28"/>
    </row>
    <row r="657" spans="4:13">
      <c r="D657" s="28"/>
      <c r="G657" s="30"/>
      <c r="K657" s="28"/>
      <c r="M657" s="28"/>
    </row>
    <row r="658" spans="4:13">
      <c r="D658" s="28"/>
      <c r="G658" s="30"/>
      <c r="K658" s="28"/>
      <c r="M658" s="28"/>
    </row>
    <row r="659" spans="4:13">
      <c r="D659" s="28"/>
      <c r="G659" s="30"/>
      <c r="K659" s="28"/>
      <c r="M659" s="28"/>
    </row>
    <row r="660" spans="4:13">
      <c r="D660" s="28"/>
      <c r="G660" s="30"/>
      <c r="K660" s="28"/>
      <c r="M660" s="28"/>
    </row>
    <row r="661" spans="4:13">
      <c r="D661" s="28"/>
      <c r="G661" s="30"/>
      <c r="M661" s="28"/>
    </row>
    <row r="662" spans="4:13">
      <c r="D662" s="28"/>
      <c r="G662" s="30"/>
      <c r="M662" s="28"/>
    </row>
    <row r="663" spans="4:13">
      <c r="D663" s="28"/>
      <c r="G663" s="30"/>
      <c r="M663" s="28"/>
    </row>
    <row r="664" spans="4:13">
      <c r="D664" s="28"/>
      <c r="G664" s="30"/>
      <c r="M664" s="28"/>
    </row>
    <row r="665" spans="4:13">
      <c r="D665" s="28"/>
      <c r="G665" s="30"/>
      <c r="M665" s="28"/>
    </row>
    <row r="666" spans="4:13">
      <c r="D666" s="28"/>
      <c r="G666" s="30"/>
      <c r="M666" s="28"/>
    </row>
    <row r="667" spans="4:13">
      <c r="D667" s="28"/>
      <c r="G667" s="30"/>
      <c r="M667" s="28"/>
    </row>
    <row r="668" spans="4:13">
      <c r="D668" s="28"/>
      <c r="G668" s="30"/>
      <c r="M668" s="28"/>
    </row>
    <row r="669" spans="4:13">
      <c r="D669" s="28"/>
      <c r="G669" s="30"/>
      <c r="M669" s="28"/>
    </row>
    <row r="670" spans="4:13">
      <c r="D670" s="28"/>
      <c r="G670" s="30"/>
      <c r="M670" s="28"/>
    </row>
    <row r="671" spans="4:13">
      <c r="D671" s="28"/>
      <c r="G671" s="30"/>
      <c r="M671" s="28"/>
    </row>
    <row r="672" spans="4:13">
      <c r="D672" s="28"/>
      <c r="G672" s="30"/>
      <c r="M672" s="28"/>
    </row>
    <row r="673" spans="4:13">
      <c r="D673" s="28"/>
      <c r="G673" s="30"/>
      <c r="M673" s="28"/>
    </row>
    <row r="674" spans="4:13">
      <c r="D674" s="28"/>
      <c r="G674" s="30"/>
      <c r="M674" s="28"/>
    </row>
    <row r="675" spans="4:13">
      <c r="D675" s="28"/>
      <c r="G675" s="30"/>
      <c r="M675" s="28"/>
    </row>
    <row r="676" spans="4:13">
      <c r="D676" s="28"/>
      <c r="G676" s="30"/>
      <c r="M676" s="28"/>
    </row>
    <row r="677" spans="4:13">
      <c r="D677" s="28"/>
      <c r="G677" s="30"/>
      <c r="M677" s="28"/>
    </row>
    <row r="678" spans="4:13">
      <c r="D678" s="28"/>
      <c r="G678" s="30"/>
      <c r="M678" s="28"/>
    </row>
    <row r="679" spans="4:13">
      <c r="D679" s="28"/>
      <c r="G679" s="30"/>
      <c r="M679" s="28"/>
    </row>
    <row r="680" spans="4:13">
      <c r="D680" s="28"/>
      <c r="G680" s="30"/>
      <c r="M680" s="28"/>
    </row>
    <row r="681" spans="4:13">
      <c r="D681" s="28"/>
      <c r="G681" s="30"/>
      <c r="M681" s="28"/>
    </row>
    <row r="682" spans="4:13">
      <c r="D682" s="28"/>
      <c r="G682" s="30"/>
      <c r="M682" s="28"/>
    </row>
    <row r="683" spans="4:13">
      <c r="D683" s="28"/>
      <c r="G683" s="30"/>
      <c r="M683" s="28"/>
    </row>
    <row r="684" spans="4:13">
      <c r="D684" s="28"/>
      <c r="G684" s="30"/>
      <c r="M684" s="28"/>
    </row>
    <row r="685" spans="4:13">
      <c r="D685" s="28"/>
      <c r="G685" s="30"/>
      <c r="M685" s="28"/>
    </row>
    <row r="686" spans="4:13">
      <c r="D686" s="28"/>
      <c r="G686" s="30"/>
      <c r="M686" s="28"/>
    </row>
    <row r="687" spans="4:13">
      <c r="D687" s="28"/>
      <c r="G687" s="30"/>
      <c r="M687" s="28"/>
    </row>
    <row r="688" spans="4:13">
      <c r="D688" s="28"/>
      <c r="G688" s="30"/>
      <c r="M688" s="28"/>
    </row>
    <row r="689" spans="4:13">
      <c r="D689" s="28"/>
      <c r="G689" s="30"/>
      <c r="M689" s="28"/>
    </row>
    <row r="690" spans="4:13">
      <c r="D690" s="28"/>
      <c r="G690" s="30"/>
      <c r="M690" s="28"/>
    </row>
    <row r="691" spans="4:13">
      <c r="D691" s="28"/>
      <c r="G691" s="30"/>
      <c r="M691" s="28"/>
    </row>
    <row r="692" spans="4:13">
      <c r="D692" s="28"/>
      <c r="G692" s="30"/>
      <c r="M692" s="28"/>
    </row>
    <row r="693" spans="4:13">
      <c r="D693" s="28"/>
      <c r="G693" s="30"/>
      <c r="M693" s="28"/>
    </row>
    <row r="694" spans="4:13">
      <c r="D694" s="28"/>
      <c r="G694" s="30"/>
      <c r="M694" s="28"/>
    </row>
    <row r="695" spans="4:13">
      <c r="D695" s="28"/>
      <c r="G695" s="30"/>
      <c r="M695" s="28"/>
    </row>
    <row r="696" spans="4:13">
      <c r="D696" s="28"/>
      <c r="G696" s="30"/>
      <c r="M696" s="28"/>
    </row>
    <row r="697" spans="4:13">
      <c r="D697" s="28"/>
      <c r="G697" s="30"/>
      <c r="M697" s="28"/>
    </row>
    <row r="698" spans="4:13">
      <c r="D698" s="28"/>
      <c r="G698" s="30"/>
      <c r="M698" s="28"/>
    </row>
    <row r="699" spans="4:13">
      <c r="D699" s="28"/>
      <c r="G699" s="30"/>
      <c r="M699" s="28"/>
    </row>
    <row r="700" spans="4:13">
      <c r="D700" s="28"/>
      <c r="G700" s="30"/>
      <c r="M700" s="28"/>
    </row>
    <row r="701" spans="4:13">
      <c r="D701" s="28"/>
      <c r="G701" s="30"/>
      <c r="M701" s="28"/>
    </row>
    <row r="702" spans="4:13">
      <c r="D702" s="28"/>
      <c r="G702" s="30"/>
      <c r="M702" s="28"/>
    </row>
    <row r="703" spans="4:13">
      <c r="D703" s="28"/>
      <c r="G703" s="30"/>
      <c r="M703" s="28"/>
    </row>
    <row r="704" spans="4:13">
      <c r="D704" s="28"/>
      <c r="G704" s="30"/>
      <c r="M704" s="28"/>
    </row>
    <row r="705" spans="4:13">
      <c r="D705" s="28"/>
      <c r="G705" s="30"/>
      <c r="M705" s="28"/>
    </row>
    <row r="706" spans="4:13">
      <c r="D706" s="28"/>
      <c r="G706" s="30"/>
      <c r="M706" s="28"/>
    </row>
    <row r="707" spans="4:13">
      <c r="D707" s="28"/>
      <c r="G707" s="30"/>
      <c r="M707" s="28"/>
    </row>
    <row r="708" spans="4:13">
      <c r="D708" s="28"/>
      <c r="G708" s="30"/>
      <c r="M708" s="28"/>
    </row>
    <row r="709" spans="4:13">
      <c r="D709" s="28"/>
      <c r="G709" s="30"/>
      <c r="M709" s="28"/>
    </row>
    <row r="710" spans="4:13">
      <c r="D710" s="28"/>
      <c r="G710" s="30"/>
      <c r="M710" s="28"/>
    </row>
    <row r="711" spans="4:13">
      <c r="D711" s="28"/>
      <c r="G711" s="30"/>
      <c r="M711" s="28"/>
    </row>
    <row r="712" spans="4:13">
      <c r="D712" s="28"/>
      <c r="G712" s="30"/>
      <c r="M712" s="28"/>
    </row>
    <row r="713" spans="4:13">
      <c r="D713" s="28"/>
      <c r="G713" s="30"/>
      <c r="M713" s="28"/>
    </row>
    <row r="714" spans="4:13">
      <c r="D714" s="28"/>
      <c r="G714" s="30"/>
      <c r="M714" s="28"/>
    </row>
    <row r="715" spans="4:13">
      <c r="D715" s="28"/>
      <c r="G715" s="30"/>
      <c r="M715" s="28"/>
    </row>
    <row r="716" spans="4:13">
      <c r="D716" s="28"/>
      <c r="G716" s="30"/>
      <c r="M716" s="28"/>
    </row>
    <row r="717" spans="4:13">
      <c r="D717" s="28"/>
      <c r="G717" s="30"/>
      <c r="M717" s="28"/>
    </row>
    <row r="718" spans="4:13">
      <c r="D718" s="28"/>
      <c r="G718" s="30"/>
      <c r="M718" s="28"/>
    </row>
    <row r="719" spans="4:13">
      <c r="D719" s="28"/>
      <c r="G719" s="30"/>
      <c r="M719" s="28"/>
    </row>
    <row r="720" spans="4:13">
      <c r="D720" s="28"/>
      <c r="G720" s="30"/>
      <c r="M720" s="28"/>
    </row>
    <row r="721" spans="4:13">
      <c r="D721" s="28"/>
      <c r="G721" s="30"/>
      <c r="M721" s="28"/>
    </row>
    <row r="722" spans="4:13">
      <c r="D722" s="28"/>
      <c r="G722" s="30"/>
      <c r="M722" s="28"/>
    </row>
    <row r="723" spans="4:13">
      <c r="D723" s="28"/>
      <c r="G723" s="30"/>
      <c r="M723" s="28"/>
    </row>
    <row r="724" spans="4:13">
      <c r="D724" s="28"/>
      <c r="G724" s="30"/>
      <c r="M724" s="28"/>
    </row>
    <row r="725" spans="4:13">
      <c r="D725" s="28"/>
      <c r="G725" s="30"/>
      <c r="M725" s="28"/>
    </row>
    <row r="726" spans="4:13">
      <c r="D726" s="28"/>
      <c r="G726" s="30"/>
      <c r="M726" s="28"/>
    </row>
    <row r="727" spans="4:13">
      <c r="D727" s="28"/>
      <c r="G727" s="30"/>
      <c r="M727" s="28"/>
    </row>
    <row r="728" spans="4:13">
      <c r="D728" s="28"/>
      <c r="G728" s="30"/>
      <c r="M728" s="28"/>
    </row>
    <row r="729" spans="4:13">
      <c r="D729" s="28"/>
      <c r="G729" s="30"/>
      <c r="M729" s="28"/>
    </row>
    <row r="730" spans="4:13">
      <c r="D730" s="28"/>
      <c r="G730" s="30"/>
      <c r="M730" s="28"/>
    </row>
    <row r="731" spans="4:13">
      <c r="D731" s="28"/>
      <c r="G731" s="30"/>
      <c r="M731" s="28"/>
    </row>
    <row r="732" spans="4:13">
      <c r="D732" s="28"/>
      <c r="G732" s="30"/>
      <c r="M732" s="28"/>
    </row>
    <row r="733" spans="4:13">
      <c r="D733" s="28"/>
      <c r="G733" s="30"/>
      <c r="M733" s="28"/>
    </row>
    <row r="734" spans="4:13">
      <c r="D734" s="28"/>
      <c r="G734" s="30"/>
      <c r="M734" s="28"/>
    </row>
    <row r="735" spans="4:13">
      <c r="D735" s="28"/>
      <c r="G735" s="30"/>
      <c r="M735" s="28"/>
    </row>
    <row r="736" spans="4:13">
      <c r="D736" s="28"/>
      <c r="G736" s="30"/>
      <c r="M736" s="28"/>
    </row>
    <row r="737" spans="4:13">
      <c r="D737" s="28"/>
      <c r="G737" s="30"/>
      <c r="M737" s="28"/>
    </row>
    <row r="738" spans="4:13">
      <c r="D738" s="28"/>
      <c r="G738" s="30"/>
      <c r="M738" s="28"/>
    </row>
    <row r="739" spans="4:13">
      <c r="D739" s="28"/>
      <c r="G739" s="30"/>
      <c r="M739" s="28"/>
    </row>
    <row r="740" spans="4:13">
      <c r="D740" s="28"/>
      <c r="G740" s="30"/>
      <c r="M740" s="28"/>
    </row>
    <row r="741" spans="4:13">
      <c r="D741" s="28"/>
      <c r="G741" s="30"/>
      <c r="M741" s="28"/>
    </row>
    <row r="742" spans="4:13">
      <c r="D742" s="28"/>
      <c r="G742" s="30"/>
      <c r="M742" s="28"/>
    </row>
    <row r="743" spans="4:13">
      <c r="D743" s="28"/>
      <c r="G743" s="30"/>
      <c r="M743" s="28"/>
    </row>
    <row r="744" spans="4:13">
      <c r="D744" s="28"/>
      <c r="G744" s="30"/>
      <c r="M744" s="28"/>
    </row>
    <row r="745" spans="4:13">
      <c r="D745" s="28"/>
      <c r="G745" s="30"/>
      <c r="M745" s="28"/>
    </row>
    <row r="746" spans="4:13">
      <c r="D746" s="28"/>
      <c r="G746" s="30"/>
      <c r="M746" s="28"/>
    </row>
    <row r="747" spans="4:13">
      <c r="D747" s="28"/>
      <c r="G747" s="30"/>
      <c r="M747" s="28"/>
    </row>
    <row r="748" spans="4:13">
      <c r="D748" s="28"/>
      <c r="G748" s="30"/>
      <c r="M748" s="28"/>
    </row>
    <row r="749" spans="4:13">
      <c r="D749" s="28"/>
      <c r="G749" s="30"/>
      <c r="M749" s="28"/>
    </row>
    <row r="750" spans="4:13">
      <c r="D750" s="28"/>
      <c r="G750" s="30"/>
      <c r="M750" s="28"/>
    </row>
    <row r="751" spans="4:13">
      <c r="D751" s="28"/>
      <c r="G751" s="30"/>
      <c r="M751" s="28"/>
    </row>
    <row r="752" spans="4:13">
      <c r="D752" s="28"/>
      <c r="G752" s="30"/>
      <c r="M752" s="28"/>
    </row>
    <row r="753" spans="4:13">
      <c r="D753" s="28"/>
      <c r="G753" s="30"/>
      <c r="M753" s="28"/>
    </row>
    <row r="754" spans="4:13">
      <c r="D754" s="28"/>
      <c r="G754" s="30"/>
      <c r="M754" s="28"/>
    </row>
    <row r="755" spans="4:13">
      <c r="D755" s="28"/>
      <c r="G755" s="30"/>
      <c r="M755" s="28"/>
    </row>
    <row r="756" spans="4:13">
      <c r="D756" s="28"/>
      <c r="G756" s="30"/>
      <c r="M756" s="28"/>
    </row>
    <row r="757" spans="4:13">
      <c r="D757" s="28"/>
      <c r="G757" s="30"/>
      <c r="M757" s="28"/>
    </row>
    <row r="758" spans="4:13">
      <c r="D758" s="28"/>
      <c r="G758" s="30"/>
      <c r="M758" s="28"/>
    </row>
    <row r="759" spans="4:13">
      <c r="D759" s="28"/>
      <c r="G759" s="30"/>
      <c r="M759" s="28"/>
    </row>
    <row r="760" spans="4:13">
      <c r="D760" s="28"/>
      <c r="G760" s="30"/>
      <c r="M760" s="28"/>
    </row>
    <row r="761" spans="4:13">
      <c r="D761" s="28"/>
      <c r="G761" s="30"/>
      <c r="M761" s="28"/>
    </row>
    <row r="762" spans="4:13">
      <c r="D762" s="28"/>
      <c r="G762" s="30"/>
      <c r="M762" s="28"/>
    </row>
    <row r="763" spans="4:13">
      <c r="D763" s="28"/>
      <c r="G763" s="30"/>
      <c r="M763" s="28"/>
    </row>
    <row r="764" spans="4:13">
      <c r="D764" s="28"/>
      <c r="G764" s="30"/>
      <c r="M764" s="28"/>
    </row>
    <row r="765" spans="4:13">
      <c r="D765" s="28"/>
      <c r="G765" s="30"/>
      <c r="M765" s="28"/>
    </row>
    <row r="766" spans="4:13">
      <c r="D766" s="28"/>
      <c r="G766" s="30"/>
      <c r="M766" s="28"/>
    </row>
    <row r="767" spans="4:13">
      <c r="D767" s="28"/>
      <c r="G767" s="30"/>
      <c r="M767" s="28"/>
    </row>
    <row r="768" spans="4:13">
      <c r="D768" s="28"/>
      <c r="G768" s="30"/>
      <c r="M768" s="28"/>
    </row>
    <row r="769" spans="4:13">
      <c r="D769" s="28"/>
      <c r="G769" s="30"/>
      <c r="M769" s="28"/>
    </row>
    <row r="770" spans="4:13">
      <c r="D770" s="28"/>
      <c r="G770" s="30"/>
      <c r="M770" s="28"/>
    </row>
    <row r="771" spans="4:13">
      <c r="D771" s="28"/>
      <c r="G771" s="30"/>
      <c r="M771" s="28"/>
    </row>
    <row r="772" spans="4:13">
      <c r="D772" s="28"/>
      <c r="G772" s="30"/>
      <c r="M772" s="28"/>
    </row>
    <row r="773" spans="4:13">
      <c r="D773" s="28"/>
      <c r="G773" s="30"/>
      <c r="M773" s="28"/>
    </row>
    <row r="774" spans="4:13">
      <c r="D774" s="28"/>
      <c r="G774" s="30"/>
      <c r="M774" s="28"/>
    </row>
    <row r="775" spans="4:13">
      <c r="D775" s="28"/>
      <c r="G775" s="30"/>
      <c r="M775" s="28"/>
    </row>
    <row r="776" spans="4:13">
      <c r="D776" s="28"/>
      <c r="G776" s="30"/>
      <c r="M776" s="28"/>
    </row>
    <row r="777" spans="4:13">
      <c r="D777" s="28"/>
      <c r="G777" s="30"/>
      <c r="M777" s="28"/>
    </row>
    <row r="778" spans="4:13">
      <c r="D778" s="28"/>
      <c r="G778" s="30"/>
      <c r="M778" s="28"/>
    </row>
    <row r="779" spans="4:13">
      <c r="D779" s="28"/>
      <c r="G779" s="30"/>
      <c r="M779" s="28"/>
    </row>
    <row r="780" spans="4:13">
      <c r="D780" s="28"/>
      <c r="G780" s="30"/>
      <c r="M780" s="28"/>
    </row>
    <row r="781" spans="4:13">
      <c r="D781" s="28"/>
      <c r="G781" s="30"/>
      <c r="M781" s="28"/>
    </row>
    <row r="782" spans="4:13">
      <c r="D782" s="28"/>
      <c r="G782" s="30"/>
      <c r="M782" s="28"/>
    </row>
    <row r="783" spans="4:13">
      <c r="D783" s="28"/>
      <c r="G783" s="30"/>
      <c r="M783" s="28"/>
    </row>
    <row r="784" spans="4:13">
      <c r="D784" s="28"/>
      <c r="G784" s="30"/>
      <c r="M784" s="28"/>
    </row>
    <row r="785" spans="4:13">
      <c r="D785" s="28"/>
      <c r="G785" s="30"/>
      <c r="M785" s="28"/>
    </row>
    <row r="786" spans="4:13">
      <c r="D786" s="28"/>
      <c r="G786" s="30"/>
      <c r="M786" s="28"/>
    </row>
    <row r="787" spans="4:13">
      <c r="D787" s="28"/>
      <c r="G787" s="30"/>
      <c r="M787" s="28"/>
    </row>
    <row r="788" spans="4:13">
      <c r="D788" s="28"/>
      <c r="G788" s="30"/>
      <c r="M788" s="28"/>
    </row>
    <row r="789" spans="4:13">
      <c r="D789" s="28"/>
      <c r="G789" s="30"/>
      <c r="M789" s="28"/>
    </row>
    <row r="790" spans="4:13">
      <c r="D790" s="28"/>
      <c r="G790" s="30"/>
      <c r="M790" s="28"/>
    </row>
    <row r="791" spans="4:13">
      <c r="D791" s="28"/>
      <c r="G791" s="30"/>
      <c r="M791" s="28"/>
    </row>
    <row r="792" spans="4:13">
      <c r="D792" s="28"/>
      <c r="G792" s="30"/>
      <c r="M792" s="28"/>
    </row>
    <row r="793" spans="4:13">
      <c r="D793" s="28"/>
      <c r="G793" s="30"/>
      <c r="M793" s="28"/>
    </row>
    <row r="794" spans="4:13">
      <c r="D794" s="28"/>
      <c r="G794" s="30"/>
      <c r="M794" s="28"/>
    </row>
    <row r="795" spans="4:13">
      <c r="D795" s="28"/>
      <c r="G795" s="30"/>
      <c r="M795" s="28"/>
    </row>
    <row r="796" spans="4:13">
      <c r="D796" s="28"/>
      <c r="G796" s="30"/>
      <c r="M796" s="28"/>
    </row>
    <row r="797" spans="4:13">
      <c r="D797" s="28"/>
      <c r="G797" s="30"/>
      <c r="M797" s="28"/>
    </row>
    <row r="798" spans="4:13">
      <c r="D798" s="28"/>
      <c r="G798" s="30"/>
      <c r="M798" s="28"/>
    </row>
    <row r="799" spans="4:13">
      <c r="D799" s="28"/>
      <c r="G799" s="30"/>
      <c r="M799" s="28"/>
    </row>
    <row r="800" spans="4:13">
      <c r="D800" s="28"/>
      <c r="G800" s="30"/>
      <c r="M800" s="28"/>
    </row>
    <row r="801" spans="4:13">
      <c r="D801" s="28"/>
      <c r="G801" s="30"/>
      <c r="M801" s="28"/>
    </row>
    <row r="802" spans="4:13">
      <c r="D802" s="28"/>
      <c r="G802" s="30"/>
      <c r="M802" s="28"/>
    </row>
    <row r="803" spans="4:13">
      <c r="D803" s="28"/>
      <c r="G803" s="30"/>
      <c r="M803" s="28"/>
    </row>
    <row r="804" spans="4:13">
      <c r="D804" s="28"/>
      <c r="M804" s="28"/>
    </row>
    <row r="805" spans="4:13">
      <c r="D805" s="28"/>
      <c r="M805" s="28"/>
    </row>
    <row r="806" spans="4:13">
      <c r="D806" s="28"/>
      <c r="M806" s="28"/>
    </row>
    <row r="807" spans="4:13">
      <c r="D807" s="28"/>
      <c r="M807" s="28"/>
    </row>
    <row r="808" spans="4:13">
      <c r="D808" s="28"/>
      <c r="M808" s="28"/>
    </row>
    <row r="809" spans="4:13">
      <c r="D809" s="28"/>
      <c r="M809" s="28"/>
    </row>
    <row r="810" spans="4:13">
      <c r="D810" s="28"/>
      <c r="M810" s="28"/>
    </row>
    <row r="811" spans="4:13">
      <c r="D811" s="28"/>
      <c r="M811" s="28"/>
    </row>
    <row r="812" spans="4:13">
      <c r="D812" s="28"/>
      <c r="M812" s="28"/>
    </row>
    <row r="813" spans="4:13">
      <c r="D813" s="28"/>
      <c r="M813" s="28"/>
    </row>
    <row r="814" spans="4:13">
      <c r="D814" s="28"/>
      <c r="M814" s="28"/>
    </row>
    <row r="815" spans="4:13">
      <c r="D815" s="28"/>
      <c r="M815" s="28"/>
    </row>
    <row r="816" spans="4:13">
      <c r="D816" s="28"/>
      <c r="M816" s="28"/>
    </row>
    <row r="817" spans="4:13">
      <c r="D817" s="28"/>
      <c r="M817" s="28"/>
    </row>
    <row r="818" spans="4:13">
      <c r="D818" s="28"/>
      <c r="M818" s="28"/>
    </row>
    <row r="819" spans="4:13">
      <c r="D819" s="28"/>
      <c r="M819" s="28"/>
    </row>
    <row r="820" spans="4:13">
      <c r="D820" s="28"/>
      <c r="M820" s="28"/>
    </row>
    <row r="821" spans="4:13">
      <c r="D821" s="28"/>
      <c r="M821" s="28"/>
    </row>
    <row r="822" spans="4:13">
      <c r="D822" s="28"/>
      <c r="M822" s="28"/>
    </row>
    <row r="823" spans="4:13">
      <c r="D823" s="28"/>
      <c r="M823" s="28"/>
    </row>
    <row r="824" spans="4:13">
      <c r="D824" s="28"/>
      <c r="M824" s="28"/>
    </row>
    <row r="825" spans="4:13">
      <c r="D825" s="28"/>
      <c r="M825" s="28"/>
    </row>
    <row r="826" spans="4:13">
      <c r="D826" s="28"/>
      <c r="M826" s="28"/>
    </row>
    <row r="827" spans="4:13">
      <c r="D827" s="28"/>
      <c r="M827" s="28"/>
    </row>
    <row r="828" spans="4:13">
      <c r="D828" s="28"/>
      <c r="M828" s="28"/>
    </row>
    <row r="829" spans="4:13">
      <c r="D829" s="28"/>
      <c r="M829" s="28"/>
    </row>
    <row r="830" spans="4:13">
      <c r="D830" s="28"/>
      <c r="M830" s="28"/>
    </row>
    <row r="831" spans="4:13">
      <c r="D831" s="28"/>
      <c r="M831" s="28"/>
    </row>
    <row r="832" spans="4:13">
      <c r="D832" s="28"/>
      <c r="M832" s="28"/>
    </row>
    <row r="833" spans="4:13">
      <c r="D833" s="28"/>
      <c r="M833" s="28"/>
    </row>
    <row r="834" spans="4:13">
      <c r="D834" s="28"/>
      <c r="M834" s="28"/>
    </row>
    <row r="835" spans="4:13">
      <c r="D835" s="28"/>
      <c r="M835" s="28"/>
    </row>
    <row r="836" spans="4:13">
      <c r="D836" s="28"/>
      <c r="M836" s="28"/>
    </row>
    <row r="837" spans="4:13">
      <c r="D837" s="28"/>
      <c r="M837" s="28"/>
    </row>
    <row r="838" spans="4:13">
      <c r="D838" s="28"/>
      <c r="M838" s="28"/>
    </row>
    <row r="839" spans="4:13">
      <c r="D839" s="28"/>
      <c r="M839" s="28"/>
    </row>
    <row r="840" spans="4:13">
      <c r="D840" s="28"/>
      <c r="M840" s="28"/>
    </row>
    <row r="841" spans="4:13">
      <c r="D841" s="28"/>
      <c r="M841" s="28"/>
    </row>
    <row r="842" spans="4:13">
      <c r="D842" s="28"/>
      <c r="M842" s="28"/>
    </row>
    <row r="843" spans="4:13">
      <c r="D843" s="28"/>
      <c r="M843" s="28"/>
    </row>
    <row r="844" spans="4:13">
      <c r="D844" s="28"/>
      <c r="M844" s="28"/>
    </row>
    <row r="845" spans="4:13">
      <c r="D845" s="28"/>
      <c r="M845" s="28"/>
    </row>
    <row r="846" spans="4:13">
      <c r="D846" s="28"/>
      <c r="M846" s="28"/>
    </row>
    <row r="847" spans="4:13">
      <c r="D847" s="28"/>
      <c r="M847" s="28"/>
    </row>
    <row r="848" spans="4:13">
      <c r="D848" s="28"/>
      <c r="M848" s="28"/>
    </row>
    <row r="849" spans="4:13">
      <c r="D849" s="28"/>
      <c r="M849" s="28"/>
    </row>
    <row r="850" spans="4:13">
      <c r="D850" s="28"/>
      <c r="M850" s="28"/>
    </row>
    <row r="851" spans="4:13">
      <c r="D851" s="28"/>
    </row>
    <row r="852" spans="4:13">
      <c r="D852" s="28"/>
    </row>
    <row r="853" spans="4:13">
      <c r="D853" s="28"/>
    </row>
    <row r="854" spans="4:13">
      <c r="D854" s="28"/>
    </row>
    <row r="855" spans="4:13">
      <c r="D855" s="28"/>
    </row>
    <row r="856" spans="4:13">
      <c r="D856" s="28"/>
    </row>
    <row r="857" spans="4:13">
      <c r="D857" s="28"/>
    </row>
    <row r="858" spans="4:13">
      <c r="D858" s="28"/>
    </row>
    <row r="859" spans="4:13">
      <c r="D859" s="28"/>
    </row>
    <row r="860" spans="4:13">
      <c r="D860" s="28"/>
    </row>
    <row r="861" spans="4:13">
      <c r="D861" s="28"/>
    </row>
    <row r="862" spans="4:13">
      <c r="D862" s="28"/>
    </row>
    <row r="863" spans="4:13">
      <c r="D863" s="28"/>
    </row>
    <row r="864" spans="4:13">
      <c r="D864" s="28"/>
    </row>
    <row r="865" spans="4:4">
      <c r="D865" s="28"/>
    </row>
    <row r="866" spans="4:4">
      <c r="D866" s="28"/>
    </row>
    <row r="867" spans="4:4">
      <c r="D867" s="28"/>
    </row>
    <row r="868" spans="4:4">
      <c r="D868" s="28"/>
    </row>
    <row r="869" spans="4:4">
      <c r="D869" s="28"/>
    </row>
    <row r="870" spans="4:4">
      <c r="D870" s="28"/>
    </row>
    <row r="871" spans="4:4">
      <c r="D871" s="28"/>
    </row>
    <row r="872" spans="4:4">
      <c r="D872" s="28"/>
    </row>
    <row r="873" spans="4:4">
      <c r="D873" s="28"/>
    </row>
    <row r="874" spans="4:4">
      <c r="D874" s="28"/>
    </row>
    <row r="875" spans="4:4">
      <c r="D875" s="28"/>
    </row>
    <row r="876" spans="4:4">
      <c r="D876" s="28"/>
    </row>
    <row r="877" spans="4:4">
      <c r="D877" s="28"/>
    </row>
    <row r="878" spans="4:4">
      <c r="D878" s="28"/>
    </row>
    <row r="879" spans="4:4">
      <c r="D879" s="28"/>
    </row>
    <row r="880" spans="4:4">
      <c r="D880" s="28"/>
    </row>
    <row r="881" spans="4:4">
      <c r="D881" s="28"/>
    </row>
    <row r="882" spans="4:4">
      <c r="D882" s="28"/>
    </row>
    <row r="883" spans="4:4">
      <c r="D883" s="28"/>
    </row>
    <row r="884" spans="4:4">
      <c r="D884" s="28"/>
    </row>
    <row r="885" spans="4:4">
      <c r="D885" s="28"/>
    </row>
    <row r="886" spans="4:4">
      <c r="D886" s="28"/>
    </row>
    <row r="887" spans="4:4">
      <c r="D887" s="28"/>
    </row>
    <row r="888" spans="4:4">
      <c r="D888" s="28"/>
    </row>
    <row r="889" spans="4:4">
      <c r="D889" s="28"/>
    </row>
    <row r="890" spans="4:4">
      <c r="D890" s="28"/>
    </row>
    <row r="891" spans="4:4">
      <c r="D891" s="28"/>
    </row>
    <row r="892" spans="4:4">
      <c r="D892" s="28"/>
    </row>
    <row r="893" spans="4:4">
      <c r="D893" s="28"/>
    </row>
    <row r="894" spans="4:4">
      <c r="D894" s="28"/>
    </row>
    <row r="895" spans="4:4">
      <c r="D895" s="28"/>
    </row>
    <row r="896" spans="4:4">
      <c r="D896" s="28"/>
    </row>
    <row r="897" spans="4:4">
      <c r="D897" s="28"/>
    </row>
    <row r="898" spans="4:4">
      <c r="D898" s="28"/>
    </row>
    <row r="899" spans="4:4">
      <c r="D899" s="28"/>
    </row>
    <row r="900" spans="4:4">
      <c r="D900" s="28"/>
    </row>
    <row r="901" spans="4:4">
      <c r="D901" s="28"/>
    </row>
    <row r="902" spans="4:4">
      <c r="D902" s="28"/>
    </row>
    <row r="903" spans="4:4">
      <c r="D903" s="28"/>
    </row>
    <row r="904" spans="4:4">
      <c r="D904" s="28"/>
    </row>
    <row r="905" spans="4:4">
      <c r="D905" s="28"/>
    </row>
    <row r="906" spans="4:4">
      <c r="D906" s="28"/>
    </row>
    <row r="907" spans="4:4">
      <c r="D907" s="28"/>
    </row>
    <row r="908" spans="4:4">
      <c r="D908" s="28"/>
    </row>
    <row r="909" spans="4:4">
      <c r="D909" s="28"/>
    </row>
    <row r="910" spans="4:4">
      <c r="D910" s="28"/>
    </row>
    <row r="911" spans="4:4">
      <c r="D911" s="28"/>
    </row>
    <row r="912" spans="4:4">
      <c r="D912" s="28"/>
    </row>
    <row r="913" spans="4:4">
      <c r="D913" s="28"/>
    </row>
    <row r="914" spans="4:4">
      <c r="D914" s="28"/>
    </row>
    <row r="915" spans="4:4">
      <c r="D915" s="28"/>
    </row>
    <row r="916" spans="4:4">
      <c r="D916" s="28"/>
    </row>
    <row r="917" spans="4:4">
      <c r="D917" s="28"/>
    </row>
    <row r="918" spans="4:4">
      <c r="D918" s="28"/>
    </row>
    <row r="919" spans="4:4">
      <c r="D919" s="28"/>
    </row>
    <row r="920" spans="4:4">
      <c r="D920" s="28"/>
    </row>
    <row r="921" spans="4:4">
      <c r="D921" s="28"/>
    </row>
    <row r="922" spans="4:4">
      <c r="D922" s="28"/>
    </row>
    <row r="923" spans="4:4">
      <c r="D923" s="28"/>
    </row>
    <row r="924" spans="4:4">
      <c r="D924" s="28"/>
    </row>
    <row r="925" spans="4:4">
      <c r="D925" s="28"/>
    </row>
    <row r="926" spans="4:4">
      <c r="D926" s="28"/>
    </row>
    <row r="927" spans="4:4">
      <c r="D927" s="28"/>
    </row>
    <row r="928" spans="4:4">
      <c r="D928" s="28"/>
    </row>
    <row r="929" spans="4:4">
      <c r="D929" s="28"/>
    </row>
    <row r="930" spans="4:4">
      <c r="D930" s="28"/>
    </row>
    <row r="931" spans="4:4">
      <c r="D931" s="28"/>
    </row>
    <row r="932" spans="4:4">
      <c r="D932" s="28"/>
    </row>
    <row r="933" spans="4:4">
      <c r="D933" s="28"/>
    </row>
    <row r="934" spans="4:4">
      <c r="D934" s="28"/>
    </row>
    <row r="935" spans="4:4">
      <c r="D935" s="28"/>
    </row>
    <row r="936" spans="4:4">
      <c r="D936" s="28"/>
    </row>
    <row r="937" spans="4:4">
      <c r="D937" s="28"/>
    </row>
    <row r="938" spans="4:4">
      <c r="D938" s="28"/>
    </row>
    <row r="939" spans="4:4">
      <c r="D939" s="28"/>
    </row>
    <row r="940" spans="4:4">
      <c r="D940" s="28"/>
    </row>
    <row r="941" spans="4:4">
      <c r="D941" s="28"/>
    </row>
    <row r="942" spans="4:4">
      <c r="D942" s="28"/>
    </row>
    <row r="943" spans="4:4">
      <c r="D943" s="28"/>
    </row>
    <row r="944" spans="4:4">
      <c r="D944" s="28"/>
    </row>
    <row r="945" spans="4:4">
      <c r="D945" s="28"/>
    </row>
    <row r="946" spans="4:4">
      <c r="D946" s="28"/>
    </row>
    <row r="947" spans="4:4">
      <c r="D947" s="28"/>
    </row>
    <row r="948" spans="4:4">
      <c r="D948" s="28"/>
    </row>
    <row r="949" spans="4:4">
      <c r="D949" s="28"/>
    </row>
    <row r="950" spans="4:4">
      <c r="D950" s="28"/>
    </row>
    <row r="951" spans="4:4">
      <c r="D951" s="28"/>
    </row>
    <row r="952" spans="4:4">
      <c r="D952" s="28"/>
    </row>
    <row r="953" spans="4:4">
      <c r="D953" s="28"/>
    </row>
    <row r="954" spans="4:4">
      <c r="D954" s="28"/>
    </row>
    <row r="955" spans="4:4">
      <c r="D955" s="28"/>
    </row>
    <row r="956" spans="4:4">
      <c r="D956" s="28"/>
    </row>
    <row r="957" spans="4:4">
      <c r="D957" s="28"/>
    </row>
    <row r="958" spans="4:4">
      <c r="D958" s="28"/>
    </row>
    <row r="959" spans="4:4">
      <c r="D959" s="28"/>
    </row>
    <row r="960" spans="4:4">
      <c r="D960" s="28"/>
    </row>
    <row r="961" spans="4:4">
      <c r="D961" s="28"/>
    </row>
    <row r="962" spans="4:4">
      <c r="D962" s="28"/>
    </row>
    <row r="963" spans="4:4">
      <c r="D963" s="28"/>
    </row>
    <row r="964" spans="4:4">
      <c r="D964" s="28"/>
    </row>
    <row r="965" spans="4:4">
      <c r="D965" s="28"/>
    </row>
    <row r="966" spans="4:4">
      <c r="D966" s="28"/>
    </row>
    <row r="967" spans="4:4">
      <c r="D967" s="28"/>
    </row>
    <row r="968" spans="4:4">
      <c r="D968" s="28"/>
    </row>
    <row r="969" spans="4:4">
      <c r="D969" s="28"/>
    </row>
    <row r="970" spans="4:4">
      <c r="D970" s="28"/>
    </row>
    <row r="971" spans="4:4">
      <c r="D971" s="28"/>
    </row>
    <row r="972" spans="4:4">
      <c r="D972" s="28"/>
    </row>
    <row r="973" spans="4:4">
      <c r="D973" s="28"/>
    </row>
    <row r="974" spans="4:4">
      <c r="D974" s="28"/>
    </row>
    <row r="975" spans="4:4">
      <c r="D975" s="28"/>
    </row>
    <row r="976" spans="4:4">
      <c r="D976" s="28"/>
    </row>
    <row r="977" spans="4:4">
      <c r="D977" s="28"/>
    </row>
    <row r="978" spans="4:4">
      <c r="D978" s="28"/>
    </row>
    <row r="979" spans="4:4">
      <c r="D979" s="28"/>
    </row>
    <row r="980" spans="4:4">
      <c r="D980" s="28"/>
    </row>
    <row r="981" spans="4:4">
      <c r="D981" s="28"/>
    </row>
    <row r="982" spans="4:4">
      <c r="D982" s="28"/>
    </row>
    <row r="983" spans="4:4">
      <c r="D983" s="28"/>
    </row>
    <row r="984" spans="4:4">
      <c r="D984" s="28"/>
    </row>
    <row r="985" spans="4:4">
      <c r="D985" s="28"/>
    </row>
    <row r="986" spans="4:4">
      <c r="D986" s="28"/>
    </row>
    <row r="987" spans="4:4">
      <c r="D987" s="28"/>
    </row>
    <row r="988" spans="4:4">
      <c r="D988" s="28"/>
    </row>
    <row r="989" spans="4:4">
      <c r="D989" s="28"/>
    </row>
    <row r="990" spans="4:4">
      <c r="D990" s="28"/>
    </row>
    <row r="991" spans="4:4">
      <c r="D991" s="28"/>
    </row>
    <row r="992" spans="4:4">
      <c r="D992" s="28"/>
    </row>
    <row r="993" spans="4:4">
      <c r="D993" s="28"/>
    </row>
    <row r="994" spans="4:4">
      <c r="D994" s="28"/>
    </row>
    <row r="995" spans="4:4">
      <c r="D995" s="28"/>
    </row>
    <row r="996" spans="4:4">
      <c r="D996" s="28"/>
    </row>
    <row r="997" spans="4:4">
      <c r="D997" s="28"/>
    </row>
    <row r="998" spans="4:4">
      <c r="D998" s="28"/>
    </row>
    <row r="999" spans="4:4">
      <c r="D999" s="28"/>
    </row>
    <row r="1000" spans="4:4">
      <c r="D1000" s="28"/>
    </row>
    <row r="1001" spans="4:4">
      <c r="D1001" s="28"/>
    </row>
    <row r="1002" spans="4:4">
      <c r="D1002" s="28"/>
    </row>
    <row r="1003" spans="4:4">
      <c r="D1003" s="28"/>
    </row>
    <row r="1004" spans="4:4">
      <c r="D1004" s="28"/>
    </row>
    <row r="1005" spans="4:4">
      <c r="D1005" s="28"/>
    </row>
    <row r="1006" spans="4:4">
      <c r="D1006" s="28"/>
    </row>
    <row r="1007" spans="4:4">
      <c r="D1007" s="28"/>
    </row>
    <row r="1008" spans="4:4">
      <c r="D1008" s="28"/>
    </row>
    <row r="1009" spans="4:4">
      <c r="D1009" s="28"/>
    </row>
    <row r="1010" spans="4:4">
      <c r="D1010" s="28"/>
    </row>
    <row r="1011" spans="4:4">
      <c r="D1011" s="28"/>
    </row>
    <row r="1012" spans="4:4">
      <c r="D1012" s="28"/>
    </row>
    <row r="1013" spans="4:4">
      <c r="D1013" s="28"/>
    </row>
    <row r="1014" spans="4:4">
      <c r="D1014" s="28"/>
    </row>
    <row r="1015" spans="4:4">
      <c r="D1015" s="28"/>
    </row>
    <row r="1016" spans="4:4">
      <c r="D1016" s="28"/>
    </row>
    <row r="1017" spans="4:4">
      <c r="D1017" s="28"/>
    </row>
    <row r="1018" spans="4:4">
      <c r="D1018" s="28"/>
    </row>
    <row r="1019" spans="4:4">
      <c r="D1019" s="28"/>
    </row>
    <row r="1020" spans="4:4">
      <c r="D1020" s="28"/>
    </row>
    <row r="1021" spans="4:4">
      <c r="D1021" s="28"/>
    </row>
    <row r="1022" spans="4:4">
      <c r="D1022" s="28"/>
    </row>
    <row r="1023" spans="4:4">
      <c r="D1023" s="28"/>
    </row>
    <row r="1024" spans="4:4">
      <c r="D1024" s="28"/>
    </row>
    <row r="1025" spans="4:4">
      <c r="D1025" s="28"/>
    </row>
    <row r="1026" spans="4:4">
      <c r="D1026" s="28"/>
    </row>
    <row r="1027" spans="4:4">
      <c r="D1027" s="28"/>
    </row>
    <row r="1028" spans="4:4">
      <c r="D1028" s="28"/>
    </row>
    <row r="1029" spans="4:4">
      <c r="D1029" s="28"/>
    </row>
    <row r="1030" spans="4:4">
      <c r="D1030" s="28"/>
    </row>
    <row r="1031" spans="4:4">
      <c r="D1031" s="28"/>
    </row>
    <row r="1032" spans="4:4">
      <c r="D1032" s="28"/>
    </row>
    <row r="1033" spans="4:4">
      <c r="D1033" s="28"/>
    </row>
    <row r="1034" spans="4:4">
      <c r="D1034" s="28"/>
    </row>
    <row r="1035" spans="4:4">
      <c r="D1035" s="28"/>
    </row>
    <row r="1036" spans="4:4">
      <c r="D1036" s="28"/>
    </row>
    <row r="1037" spans="4:4">
      <c r="D1037" s="28"/>
    </row>
    <row r="1038" spans="4:4">
      <c r="D1038" s="28"/>
    </row>
    <row r="1039" spans="4:4">
      <c r="D1039" s="28"/>
    </row>
    <row r="1040" spans="4:4">
      <c r="D1040" s="28"/>
    </row>
    <row r="1041" spans="4:4">
      <c r="D1041" s="28"/>
    </row>
    <row r="1042" spans="4:4">
      <c r="D1042" s="28"/>
    </row>
    <row r="1043" spans="4:4">
      <c r="D1043" s="28"/>
    </row>
    <row r="1044" spans="4:4">
      <c r="D1044" s="28"/>
    </row>
    <row r="1045" spans="4:4">
      <c r="D1045" s="28"/>
    </row>
    <row r="1046" spans="4:4">
      <c r="D1046" s="28"/>
    </row>
    <row r="1047" spans="4:4">
      <c r="D1047" s="28"/>
    </row>
    <row r="1048" spans="4:4">
      <c r="D1048" s="28"/>
    </row>
    <row r="1049" spans="4:4">
      <c r="D1049" s="28"/>
    </row>
    <row r="1050" spans="4:4">
      <c r="D1050" s="28"/>
    </row>
    <row r="1051" spans="4:4">
      <c r="D1051" s="28"/>
    </row>
    <row r="1052" spans="4:4">
      <c r="D1052" s="28"/>
    </row>
    <row r="1053" spans="4:4">
      <c r="D1053" s="28"/>
    </row>
    <row r="1054" spans="4:4">
      <c r="D1054" s="28"/>
    </row>
    <row r="1055" spans="4:4">
      <c r="D1055" s="28"/>
    </row>
    <row r="1056" spans="4:4">
      <c r="D1056" s="28"/>
    </row>
    <row r="1057" spans="4:4">
      <c r="D1057" s="28"/>
    </row>
    <row r="1058" spans="4:4">
      <c r="D1058" s="28"/>
    </row>
    <row r="1059" spans="4:4">
      <c r="D1059" s="28"/>
    </row>
    <row r="1060" spans="4:4">
      <c r="D1060" s="28"/>
    </row>
    <row r="1061" spans="4:4">
      <c r="D1061" s="28"/>
    </row>
    <row r="1062" spans="4:4">
      <c r="D1062" s="28"/>
    </row>
    <row r="1063" spans="4:4">
      <c r="D1063" s="28"/>
    </row>
    <row r="1064" spans="4:4">
      <c r="D1064" s="28"/>
    </row>
    <row r="1065" spans="4:4">
      <c r="D1065" s="28"/>
    </row>
    <row r="1066" spans="4:4">
      <c r="D1066" s="28"/>
    </row>
    <row r="1067" spans="4:4">
      <c r="D1067" s="28"/>
    </row>
    <row r="1068" spans="4:4">
      <c r="D1068" s="28"/>
    </row>
    <row r="1069" spans="4:4">
      <c r="D1069" s="28"/>
    </row>
    <row r="1070" spans="4:4">
      <c r="D1070" s="28"/>
    </row>
    <row r="1071" spans="4:4">
      <c r="D1071" s="28"/>
    </row>
    <row r="1072" spans="4:4">
      <c r="D1072" s="28"/>
    </row>
    <row r="1073" spans="4:4">
      <c r="D1073" s="28"/>
    </row>
    <row r="1074" spans="4:4">
      <c r="D1074" s="28"/>
    </row>
    <row r="1075" spans="4:4">
      <c r="D1075" s="28"/>
    </row>
    <row r="1076" spans="4:4">
      <c r="D1076" s="28"/>
    </row>
    <row r="1077" spans="4:4">
      <c r="D1077" s="28"/>
    </row>
    <row r="1078" spans="4:4">
      <c r="D1078" s="28"/>
    </row>
    <row r="1079" spans="4:4">
      <c r="D1079" s="28"/>
    </row>
    <row r="1080" spans="4:4">
      <c r="D1080" s="28"/>
    </row>
    <row r="1081" spans="4:4">
      <c r="D1081" s="28"/>
    </row>
    <row r="1082" spans="4:4">
      <c r="D1082" s="28"/>
    </row>
    <row r="1083" spans="4:4">
      <c r="D1083" s="28"/>
    </row>
    <row r="1084" spans="4:4">
      <c r="D1084" s="28"/>
    </row>
    <row r="1085" spans="4:4">
      <c r="D1085" s="28"/>
    </row>
    <row r="1086" spans="4:4">
      <c r="D1086" s="28"/>
    </row>
    <row r="1087" spans="4:4">
      <c r="D1087" s="28"/>
    </row>
    <row r="1088" spans="4:4">
      <c r="D1088" s="28"/>
    </row>
    <row r="1089" spans="4:4">
      <c r="D1089" s="28"/>
    </row>
    <row r="1090" spans="4:4">
      <c r="D1090" s="28"/>
    </row>
    <row r="1091" spans="4:4">
      <c r="D1091" s="28"/>
    </row>
    <row r="1092" spans="4:4">
      <c r="D1092" s="28"/>
    </row>
    <row r="1093" spans="4:4">
      <c r="D1093" s="28"/>
    </row>
    <row r="1094" spans="4:4">
      <c r="D1094" s="28"/>
    </row>
    <row r="1095" spans="4:4">
      <c r="D1095" s="28"/>
    </row>
    <row r="1096" spans="4:4">
      <c r="D1096" s="28"/>
    </row>
    <row r="1097" spans="4:4">
      <c r="D1097" s="28"/>
    </row>
    <row r="1098" spans="4:4">
      <c r="D1098" s="28"/>
    </row>
    <row r="1099" spans="4:4">
      <c r="D1099" s="28"/>
    </row>
    <row r="1100" spans="4:4">
      <c r="D1100" s="28"/>
    </row>
    <row r="1101" spans="4:4">
      <c r="D1101" s="28"/>
    </row>
    <row r="1102" spans="4:4">
      <c r="D1102" s="28"/>
    </row>
    <row r="1103" spans="4:4">
      <c r="D1103" s="28"/>
    </row>
    <row r="1104" spans="4:4">
      <c r="D1104" s="28"/>
    </row>
    <row r="1105" spans="4:4">
      <c r="D1105" s="28"/>
    </row>
    <row r="1106" spans="4:4">
      <c r="D1106" s="28"/>
    </row>
    <row r="1107" spans="4:4">
      <c r="D1107" s="28"/>
    </row>
    <row r="1108" spans="4:4">
      <c r="D1108" s="28"/>
    </row>
    <row r="1109" spans="4:4">
      <c r="D1109" s="28"/>
    </row>
    <row r="1110" spans="4:4">
      <c r="D1110" s="28"/>
    </row>
    <row r="1111" spans="4:4">
      <c r="D1111" s="28"/>
    </row>
    <row r="1112" spans="4:4">
      <c r="D1112" s="28"/>
    </row>
    <row r="1113" spans="4:4">
      <c r="D1113" s="28"/>
    </row>
    <row r="1114" spans="4:4">
      <c r="D1114" s="28"/>
    </row>
    <row r="1115" spans="4:4">
      <c r="D1115" s="28"/>
    </row>
    <row r="1116" spans="4:4">
      <c r="D1116" s="28"/>
    </row>
    <row r="1117" spans="4:4">
      <c r="D1117" s="28"/>
    </row>
    <row r="1118" spans="4:4">
      <c r="D1118" s="28"/>
    </row>
    <row r="1119" spans="4:4">
      <c r="D1119" s="28"/>
    </row>
    <row r="1120" spans="4:4">
      <c r="D1120" s="28"/>
    </row>
    <row r="1121" spans="4:4">
      <c r="D1121" s="28"/>
    </row>
    <row r="1122" spans="4:4">
      <c r="D1122" s="28"/>
    </row>
    <row r="1123" spans="4:4">
      <c r="D1123" s="28"/>
    </row>
    <row r="1124" spans="4:4">
      <c r="D1124" s="28"/>
    </row>
    <row r="1125" spans="4:4">
      <c r="D1125" s="28"/>
    </row>
    <row r="1126" spans="4:4">
      <c r="D1126" s="28"/>
    </row>
    <row r="1127" spans="4:4">
      <c r="D1127" s="28"/>
    </row>
    <row r="1128" spans="4:4">
      <c r="D1128" s="28"/>
    </row>
    <row r="1129" spans="4:4">
      <c r="D1129" s="28"/>
    </row>
    <row r="1130" spans="4:4">
      <c r="D1130" s="28"/>
    </row>
    <row r="1131" spans="4:4">
      <c r="D1131" s="28"/>
    </row>
    <row r="1132" spans="4:4">
      <c r="D1132" s="28"/>
    </row>
    <row r="1133" spans="4:4">
      <c r="D1133" s="28"/>
    </row>
    <row r="1134" spans="4:4">
      <c r="D1134" s="28"/>
    </row>
    <row r="1135" spans="4:4">
      <c r="D1135" s="28"/>
    </row>
    <row r="1136" spans="4:4">
      <c r="D1136" s="28"/>
    </row>
    <row r="1137" spans="4:4">
      <c r="D1137" s="28"/>
    </row>
    <row r="1138" spans="4:4">
      <c r="D1138" s="28"/>
    </row>
    <row r="1139" spans="4:4">
      <c r="D1139" s="28"/>
    </row>
    <row r="1140" spans="4:4">
      <c r="D1140" s="28"/>
    </row>
    <row r="1141" spans="4:4">
      <c r="D1141" s="28"/>
    </row>
    <row r="1142" spans="4:4">
      <c r="D1142" s="28"/>
    </row>
    <row r="1143" spans="4:4">
      <c r="D1143" s="28"/>
    </row>
    <row r="1144" spans="4:4">
      <c r="D1144" s="28"/>
    </row>
    <row r="1145" spans="4:4">
      <c r="D1145" s="28"/>
    </row>
    <row r="1146" spans="4:4">
      <c r="D1146" s="28"/>
    </row>
    <row r="1147" spans="4:4">
      <c r="D1147" s="28"/>
    </row>
    <row r="1148" spans="4:4">
      <c r="D1148" s="28"/>
    </row>
    <row r="1149" spans="4:4">
      <c r="D1149" s="28"/>
    </row>
    <row r="1150" spans="4:4">
      <c r="D1150" s="28"/>
    </row>
    <row r="1151" spans="4:4" ht="15" customHeight="1">
      <c r="D1151" s="28"/>
    </row>
    <row r="1152" spans="4:4" ht="15" customHeight="1">
      <c r="D1152" s="28"/>
    </row>
    <row r="1153" spans="4:4" ht="15" customHeight="1">
      <c r="D1153" s="28"/>
    </row>
    <row r="1154" spans="4:4" ht="15" customHeight="1">
      <c r="D1154" s="28"/>
    </row>
    <row r="1155" spans="4:4" ht="15" customHeight="1">
      <c r="D1155" s="28"/>
    </row>
    <row r="1156" spans="4:4" ht="15" customHeight="1">
      <c r="D1156" s="28"/>
    </row>
    <row r="1157" spans="4:4" ht="15" customHeight="1">
      <c r="D1157" s="28"/>
    </row>
    <row r="1158" spans="4:4" ht="15" customHeight="1">
      <c r="D1158" s="28"/>
    </row>
    <row r="1159" spans="4:4" ht="15" customHeight="1">
      <c r="D1159" s="28"/>
    </row>
    <row r="1160" spans="4:4" ht="15" customHeight="1">
      <c r="D1160" s="28"/>
    </row>
    <row r="1161" spans="4:4" ht="15" customHeight="1">
      <c r="D1161" s="28"/>
    </row>
    <row r="1162" spans="4:4" ht="15" customHeight="1">
      <c r="D1162" s="28"/>
    </row>
    <row r="1163" spans="4:4" ht="15" customHeight="1">
      <c r="D1163" s="28"/>
    </row>
    <row r="1164" spans="4:4" ht="15" customHeight="1">
      <c r="D1164" s="28"/>
    </row>
    <row r="1165" spans="4:4" ht="15" customHeight="1">
      <c r="D1165" s="28"/>
    </row>
    <row r="1166" spans="4:4" ht="15" customHeight="1">
      <c r="D1166" s="28"/>
    </row>
    <row r="1167" spans="4:4" ht="15" customHeight="1">
      <c r="D1167" s="28"/>
    </row>
    <row r="1168" spans="4:4" ht="15" customHeight="1">
      <c r="D1168" s="28"/>
    </row>
    <row r="1169" spans="4:4" ht="15" customHeight="1">
      <c r="D1169" s="28"/>
    </row>
    <row r="1170" spans="4:4" ht="15" customHeight="1">
      <c r="D1170" s="28"/>
    </row>
    <row r="1171" spans="4:4" ht="15" customHeight="1">
      <c r="D1171" s="28"/>
    </row>
    <row r="1172" spans="4:4" ht="15" customHeight="1">
      <c r="D1172" s="28"/>
    </row>
    <row r="1173" spans="4:4" ht="15" customHeight="1">
      <c r="D1173" s="28"/>
    </row>
    <row r="1174" spans="4:4" ht="15" customHeight="1">
      <c r="D1174" s="28"/>
    </row>
    <row r="1175" spans="4:4" ht="15" customHeight="1">
      <c r="D1175" s="28"/>
    </row>
    <row r="1176" spans="4:4" ht="15" customHeight="1">
      <c r="D1176" s="28"/>
    </row>
    <row r="1177" spans="4:4" ht="15" customHeight="1">
      <c r="D1177" s="28"/>
    </row>
    <row r="1178" spans="4:4" ht="15" customHeight="1">
      <c r="D1178" s="28"/>
    </row>
    <row r="1179" spans="4:4" ht="15" customHeight="1">
      <c r="D1179" s="28"/>
    </row>
    <row r="1180" spans="4:4" ht="15" customHeight="1">
      <c r="D1180" s="28"/>
    </row>
    <row r="1181" spans="4:4" ht="15" customHeight="1">
      <c r="D1181" s="28"/>
    </row>
    <row r="1182" spans="4:4" ht="15" customHeight="1">
      <c r="D1182" s="28"/>
    </row>
    <row r="1183" spans="4:4" ht="15" customHeight="1">
      <c r="D1183" s="28"/>
    </row>
    <row r="1184" spans="4:4" ht="15" customHeight="1">
      <c r="D1184" s="28"/>
    </row>
    <row r="1185" spans="4:4" ht="15" customHeight="1">
      <c r="D1185" s="28"/>
    </row>
    <row r="1186" spans="4:4" ht="15" customHeight="1">
      <c r="D1186" s="28"/>
    </row>
    <row r="1187" spans="4:4" ht="15" customHeight="1">
      <c r="D1187" s="28"/>
    </row>
    <row r="1188" spans="4:4" ht="15" customHeight="1">
      <c r="D1188" s="28"/>
    </row>
    <row r="1189" spans="4:4" ht="15" customHeight="1">
      <c r="D1189" s="28"/>
    </row>
    <row r="1190" spans="4:4" ht="15" customHeight="1">
      <c r="D1190" s="28"/>
    </row>
    <row r="1191" spans="4:4" ht="15" customHeight="1">
      <c r="D1191" s="28"/>
    </row>
    <row r="1192" spans="4:4" ht="15" customHeight="1">
      <c r="D1192" s="28"/>
    </row>
    <row r="1193" spans="4:4" ht="15" customHeight="1">
      <c r="D1193" s="28"/>
    </row>
    <row r="1194" spans="4:4" ht="15" customHeight="1">
      <c r="D1194" s="28"/>
    </row>
    <row r="1195" spans="4:4" ht="15" customHeight="1">
      <c r="D1195" s="28"/>
    </row>
    <row r="1196" spans="4:4" ht="15" customHeight="1">
      <c r="D1196" s="28"/>
    </row>
    <row r="1197" spans="4:4" ht="15" customHeight="1">
      <c r="D1197" s="28"/>
    </row>
    <row r="1198" spans="4:4" ht="15" customHeight="1">
      <c r="D1198" s="28"/>
    </row>
    <row r="1199" spans="4:4" ht="15" customHeight="1">
      <c r="D1199" s="28"/>
    </row>
    <row r="1200" spans="4:4" ht="15" customHeight="1">
      <c r="D1200" s="28"/>
    </row>
    <row r="1201" spans="4:4" ht="15" customHeight="1">
      <c r="D1201" s="28"/>
    </row>
    <row r="1202" spans="4:4" ht="15" customHeight="1">
      <c r="D1202" s="28"/>
    </row>
    <row r="1203" spans="4:4" ht="15" customHeight="1">
      <c r="D1203" s="28"/>
    </row>
    <row r="1204" spans="4:4" ht="15" customHeight="1">
      <c r="D1204" s="28"/>
    </row>
    <row r="1205" spans="4:4" ht="15" customHeight="1">
      <c r="D1205" s="28"/>
    </row>
    <row r="1206" spans="4:4" ht="15" customHeight="1">
      <c r="D1206" s="28"/>
    </row>
    <row r="1207" spans="4:4" ht="15" customHeight="1">
      <c r="D1207" s="28"/>
    </row>
    <row r="1208" spans="4:4" ht="15" customHeight="1">
      <c r="D1208" s="28"/>
    </row>
    <row r="1209" spans="4:4" ht="15" customHeight="1">
      <c r="D1209" s="28"/>
    </row>
    <row r="1210" spans="4:4" ht="15" customHeight="1">
      <c r="D1210" s="28"/>
    </row>
    <row r="1211" spans="4:4" ht="15" customHeight="1">
      <c r="D1211" s="28"/>
    </row>
    <row r="1212" spans="4:4" ht="15" customHeight="1">
      <c r="D1212" s="28"/>
    </row>
    <row r="1213" spans="4:4" ht="15" customHeight="1">
      <c r="D1213" s="28"/>
    </row>
    <row r="1214" spans="4:4" ht="15" customHeight="1">
      <c r="D1214" s="28"/>
    </row>
    <row r="1215" spans="4:4" ht="15" customHeight="1">
      <c r="D1215" s="28"/>
    </row>
    <row r="1216" spans="4:4" ht="15" customHeight="1">
      <c r="D1216" s="28"/>
    </row>
    <row r="1217" spans="4:4" ht="15" customHeight="1">
      <c r="D1217" s="28"/>
    </row>
    <row r="1218" spans="4:4" ht="15" customHeight="1">
      <c r="D1218" s="28"/>
    </row>
    <row r="1219" spans="4:4" ht="15" customHeight="1">
      <c r="D1219" s="28"/>
    </row>
    <row r="1220" spans="4:4" ht="15" customHeight="1">
      <c r="D1220" s="28"/>
    </row>
    <row r="1221" spans="4:4" ht="15" customHeight="1">
      <c r="D1221" s="28"/>
    </row>
    <row r="1222" spans="4:4" ht="15" customHeight="1">
      <c r="D1222" s="28"/>
    </row>
    <row r="1223" spans="4:4" ht="15" customHeight="1">
      <c r="D1223" s="28"/>
    </row>
    <row r="1224" spans="4:4" ht="15" customHeight="1">
      <c r="D1224" s="28"/>
    </row>
    <row r="1225" spans="4:4" ht="15" customHeight="1">
      <c r="D1225" s="28"/>
    </row>
    <row r="1226" spans="4:4" ht="15" customHeight="1">
      <c r="D1226" s="28"/>
    </row>
    <row r="1227" spans="4:4" ht="15" customHeight="1">
      <c r="D1227" s="28"/>
    </row>
    <row r="1228" spans="4:4" ht="15" customHeight="1">
      <c r="D1228" s="28"/>
    </row>
    <row r="1229" spans="4:4" ht="15" customHeight="1">
      <c r="D1229" s="28"/>
    </row>
    <row r="1230" spans="4:4" ht="15" customHeight="1">
      <c r="D1230" s="28"/>
    </row>
    <row r="1231" spans="4:4" ht="15" customHeight="1">
      <c r="D1231" s="28"/>
    </row>
    <row r="1232" spans="4:4" ht="15" customHeight="1">
      <c r="D1232" s="28"/>
    </row>
    <row r="1233" spans="4:4" ht="15" customHeight="1">
      <c r="D1233" s="28"/>
    </row>
    <row r="1234" spans="4:4" ht="15" customHeight="1">
      <c r="D1234" s="28"/>
    </row>
    <row r="1235" spans="4:4" ht="15" customHeight="1">
      <c r="D1235" s="28"/>
    </row>
    <row r="1236" spans="4:4" ht="15" customHeight="1">
      <c r="D1236" s="28"/>
    </row>
    <row r="1237" spans="4:4" ht="15" customHeight="1">
      <c r="D1237" s="28"/>
    </row>
    <row r="1238" spans="4:4" ht="15" customHeight="1">
      <c r="D1238" s="28"/>
    </row>
    <row r="1239" spans="4:4" ht="15" customHeight="1">
      <c r="D1239" s="28"/>
    </row>
    <row r="1240" spans="4:4" ht="15" customHeight="1">
      <c r="D1240" s="28"/>
    </row>
    <row r="1241" spans="4:4" ht="15" customHeight="1">
      <c r="D1241" s="28"/>
    </row>
    <row r="1242" spans="4:4" ht="15" customHeight="1">
      <c r="D1242" s="28"/>
    </row>
    <row r="1243" spans="4:4" ht="15" customHeight="1">
      <c r="D1243" s="28"/>
    </row>
    <row r="1244" spans="4:4" ht="15" customHeight="1">
      <c r="D1244" s="28"/>
    </row>
    <row r="1245" spans="4:4" ht="15" customHeight="1">
      <c r="D1245" s="28"/>
    </row>
    <row r="1246" spans="4:4" ht="15" customHeight="1">
      <c r="D1246" s="28"/>
    </row>
    <row r="1247" spans="4:4" ht="15" customHeight="1">
      <c r="D1247" s="28"/>
    </row>
    <row r="1248" spans="4:4" ht="15" customHeight="1">
      <c r="D1248" s="28"/>
    </row>
    <row r="1249" spans="4:4" ht="15" customHeight="1">
      <c r="D1249" s="28"/>
    </row>
    <row r="1250" spans="4:4" ht="15" customHeight="1">
      <c r="D1250" s="28"/>
    </row>
    <row r="1251" spans="4:4" ht="15" customHeight="1">
      <c r="D1251" s="28"/>
    </row>
    <row r="1252" spans="4:4" ht="15" customHeight="1">
      <c r="D1252" s="28"/>
    </row>
    <row r="1253" spans="4:4" ht="15" customHeight="1">
      <c r="D1253" s="28"/>
    </row>
    <row r="1254" spans="4:4" ht="15" customHeight="1">
      <c r="D1254" s="28"/>
    </row>
    <row r="1255" spans="4:4" ht="15" customHeight="1">
      <c r="D1255" s="28"/>
    </row>
    <row r="1256" spans="4:4" ht="15" customHeight="1">
      <c r="D1256" s="28"/>
    </row>
    <row r="1257" spans="4:4" ht="15" customHeight="1">
      <c r="D1257" s="28"/>
    </row>
    <row r="1258" spans="4:4" ht="15" customHeight="1">
      <c r="D1258" s="28"/>
    </row>
    <row r="1259" spans="4:4" ht="15" customHeight="1">
      <c r="D1259" s="28"/>
    </row>
    <row r="1260" spans="4:4" ht="15" customHeight="1">
      <c r="D1260" s="28"/>
    </row>
    <row r="1261" spans="4:4" ht="15" customHeight="1">
      <c r="D1261" s="28"/>
    </row>
    <row r="1262" spans="4:4" ht="15" customHeight="1">
      <c r="D1262" s="28"/>
    </row>
    <row r="1263" spans="4:4" ht="15" customHeight="1">
      <c r="D1263" s="28"/>
    </row>
    <row r="1264" spans="4:4" ht="15" customHeight="1">
      <c r="D1264" s="28"/>
    </row>
    <row r="1265" spans="4:4" ht="15" customHeight="1">
      <c r="D1265" s="28"/>
    </row>
    <row r="1266" spans="4:4" ht="15" customHeight="1">
      <c r="D1266" s="28"/>
    </row>
    <row r="1267" spans="4:4" ht="15" customHeight="1">
      <c r="D1267" s="28"/>
    </row>
    <row r="1268" spans="4:4" ht="15" customHeight="1">
      <c r="D1268" s="28"/>
    </row>
    <row r="1269" spans="4:4" ht="15" customHeight="1">
      <c r="D1269" s="28"/>
    </row>
    <row r="1270" spans="4:4" ht="15" customHeight="1">
      <c r="D1270" s="28"/>
    </row>
    <row r="1271" spans="4:4" ht="15" customHeight="1">
      <c r="D1271" s="28"/>
    </row>
    <row r="1272" spans="4:4" ht="15" customHeight="1">
      <c r="D1272" s="28"/>
    </row>
    <row r="1273" spans="4:4" ht="15" customHeight="1">
      <c r="D1273" s="28"/>
    </row>
    <row r="1274" spans="4:4" ht="15" customHeight="1">
      <c r="D1274" s="28"/>
    </row>
    <row r="1275" spans="4:4" ht="15" customHeight="1">
      <c r="D1275" s="28"/>
    </row>
    <row r="1276" spans="4:4" ht="15" customHeight="1">
      <c r="D1276" s="28"/>
    </row>
    <row r="1277" spans="4:4" ht="15" customHeight="1">
      <c r="D1277" s="28"/>
    </row>
    <row r="1278" spans="4:4" ht="15" customHeight="1">
      <c r="D1278" s="28"/>
    </row>
    <row r="1279" spans="4:4" ht="15" customHeight="1">
      <c r="D1279" s="28"/>
    </row>
    <row r="1280" spans="4:4" ht="15" customHeight="1">
      <c r="D1280" s="28"/>
    </row>
    <row r="1281" spans="4:4" ht="15" customHeight="1">
      <c r="D1281" s="28"/>
    </row>
    <row r="1282" spans="4:4" ht="15" customHeight="1">
      <c r="D1282" s="28"/>
    </row>
    <row r="1283" spans="4:4" ht="15" customHeight="1">
      <c r="D1283" s="28"/>
    </row>
    <row r="1284" spans="4:4" ht="15" customHeight="1">
      <c r="D1284" s="28"/>
    </row>
    <row r="1285" spans="4:4" ht="15" customHeight="1">
      <c r="D1285" s="28"/>
    </row>
    <row r="1286" spans="4:4" ht="15" customHeight="1">
      <c r="D1286" s="28"/>
    </row>
    <row r="1287" spans="4:4" ht="15" customHeight="1">
      <c r="D1287" s="28"/>
    </row>
    <row r="1288" spans="4:4" ht="15" customHeight="1">
      <c r="D1288" s="28"/>
    </row>
    <row r="1289" spans="4:4" ht="15" customHeight="1">
      <c r="D1289" s="28"/>
    </row>
    <row r="1290" spans="4:4" ht="15" customHeight="1">
      <c r="D1290" s="28"/>
    </row>
    <row r="1291" spans="4:4" ht="15" customHeight="1">
      <c r="D1291" s="28"/>
    </row>
  </sheetData>
  <phoneticPr fontId="16" type="noConversion"/>
  <conditionalFormatting sqref="D2:D237 D241:D1047">
    <cfRule type="expression" dxfId="14" priority="5">
      <formula>AND(D2&gt;=TODAY(), D2&lt;=TODAY()+7)</formula>
    </cfRule>
    <cfRule type="expression" dxfId="13" priority="6">
      <formula>AND(D2&gt;=TODAY()-30, D2&lt;=TODAY()-1, H2&lt;&gt;"Доставено")</formula>
    </cfRule>
    <cfRule type="expression" dxfId="12" priority="7">
      <formula>AND(D2=TODAY(), H2&lt;&gt;"Доставено")</formula>
    </cfRule>
  </conditionalFormatting>
  <conditionalFormatting sqref="D238:D240">
    <cfRule type="expression" dxfId="11" priority="1">
      <formula>AND(D238&gt;=TODAY(), D238&lt;=TODAY()+7)</formula>
    </cfRule>
    <cfRule type="expression" dxfId="10" priority="2">
      <formula>AND(D238&gt;=TODAY()-30, D238&lt;=TODAY()-1, H238&lt;&gt;"Доставено")</formula>
    </cfRule>
    <cfRule type="expression" dxfId="9" priority="3">
      <formula>AND(D238=TODAY(), H238&lt;&gt;"Доставено")</formula>
    </cfRule>
  </conditionalFormatting>
  <hyperlinks>
    <hyperlink ref="T274" r:id="rId1" xr:uid="{2E30BEDA-DB40-4351-8A80-8D13C4D4D742}"/>
    <hyperlink ref="T267" r:id="rId2" xr:uid="{86EE3D78-95A0-4398-A8F8-61577CADB255}"/>
    <hyperlink ref="T268" r:id="rId3" xr:uid="{ED771EC1-93FE-403F-AD2F-EE9C564CDF99}"/>
    <hyperlink ref="T281" r:id="rId4" xr:uid="{3BE5037C-BA77-470C-B53C-9FBD15F2108D}"/>
    <hyperlink ref="T280" r:id="rId5" xr:uid="{F59B5C10-E76E-449B-935D-C68B203D8071}"/>
    <hyperlink ref="T279" r:id="rId6" xr:uid="{2D7F1FB1-F58C-45C1-B911-E6204E56A2FB}"/>
    <hyperlink ref="T278" r:id="rId7" xr:uid="{30023C6B-9011-415C-9F5F-D111C86B7B04}"/>
  </hyperlinks>
  <pageMargins left="0.7" right="0.7" top="0.75" bottom="0.75" header="0.3" footer="0.3"/>
  <pageSetup paperSize="9" orientation="landscape" horizontalDpi="4294967293" verticalDpi="0" r:id="rId8"/>
  <tableParts count="1">
    <tablePart r:id="rId9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F9F5C9-BE83-FC40-801D-371B758080BA}">
          <x14:formula1>
            <xm:f>Reference!$A$2:$A$10</xm:f>
          </x14:formula1>
          <xm:sqref>H4:H410</xm:sqref>
        </x14:dataValidation>
        <x14:dataValidation type="list" allowBlank="1" showInputMessage="1" showErrorMessage="1" xr:uid="{1732A745-3987-3649-BB38-BD102F76B7FA}">
          <x14:formula1>
            <xm:f>Reference!$C$2:$C$171</xm:f>
          </x14:formula1>
          <xm:sqref>J4:J410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DBB9-0BBD-42DA-ABE8-8956CAD0C04A}">
  <dimension ref="A1:S917"/>
  <sheetViews>
    <sheetView showGridLines="0" tabSelected="1" zoomScale="115" zoomScaleNormal="115" workbookViewId="0">
      <pane ySplit="1" topLeftCell="A468" activePane="bottomLeft" state="frozen"/>
      <selection activeCell="G66" sqref="G66"/>
      <selection pane="bottomLeft" activeCell="D1" sqref="D1"/>
    </sheetView>
  </sheetViews>
  <sheetFormatPr defaultColWidth="8.85546875" defaultRowHeight="15" customHeight="1"/>
  <cols>
    <col min="1" max="1" width="40.140625" customWidth="1"/>
    <col min="2" max="3" width="12.7109375" customWidth="1"/>
    <col min="4" max="4" width="16.85546875" customWidth="1"/>
    <col min="5" max="5" width="16.5703125" customWidth="1"/>
    <col min="6" max="6" width="18.42578125" customWidth="1"/>
    <col min="7" max="8" width="16.28515625" customWidth="1"/>
    <col min="9" max="9" width="21.7109375" customWidth="1"/>
    <col min="10" max="10" width="13.42578125" customWidth="1"/>
    <col min="11" max="11" width="18.28515625" customWidth="1"/>
    <col min="12" max="12" width="11.28515625" customWidth="1"/>
    <col min="13" max="13" width="16" customWidth="1"/>
    <col min="14" max="15" width="11.140625" customWidth="1"/>
    <col min="16" max="16" width="12.42578125" customWidth="1"/>
    <col min="17" max="19" width="17.42578125" customWidth="1"/>
  </cols>
  <sheetData>
    <row r="1" spans="1:19" s="1" customFormat="1" ht="47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</v>
      </c>
      <c r="G1" s="4" t="s">
        <v>591</v>
      </c>
      <c r="H1" s="4" t="s">
        <v>592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593</v>
      </c>
      <c r="S1" s="4" t="s">
        <v>19</v>
      </c>
    </row>
    <row r="2" spans="1:19" s="1" customFormat="1" ht="30">
      <c r="A2" s="1" t="s">
        <v>594</v>
      </c>
      <c r="B2" s="1">
        <v>2</v>
      </c>
      <c r="D2" s="27">
        <v>45807</v>
      </c>
      <c r="E2" s="1" t="s">
        <v>595</v>
      </c>
      <c r="F2" s="33">
        <v>45796.206018518518</v>
      </c>
      <c r="G2" s="1" t="s">
        <v>42</v>
      </c>
      <c r="H2" s="39" t="s">
        <v>596</v>
      </c>
      <c r="I2" s="1" t="s">
        <v>597</v>
      </c>
      <c r="J2" s="27"/>
      <c r="L2" s="27"/>
      <c r="O2" s="1">
        <f>Cotton_Buds[[#This Row],[Цена за 1 бр. в BGN]]*Cotton_Buds[[#This Row],[Поръчано Количество]]</f>
        <v>0</v>
      </c>
      <c r="R2" s="1" t="str" cm="1">
        <f t="array" ref="R2">_xlfn.SWITCH(S2,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" spans="1:19" s="1" customFormat="1" ht="30">
      <c r="A3" s="1" t="s">
        <v>598</v>
      </c>
      <c r="B3" s="1">
        <v>2</v>
      </c>
      <c r="C3" s="1">
        <v>2</v>
      </c>
      <c r="D3" s="27">
        <v>45722</v>
      </c>
      <c r="E3" s="1" t="s">
        <v>595</v>
      </c>
      <c r="F3" s="33">
        <v>45714.279166666667</v>
      </c>
      <c r="G3" s="1" t="s">
        <v>22</v>
      </c>
      <c r="I3" s="1" t="s">
        <v>51</v>
      </c>
      <c r="J3" s="27"/>
      <c r="L3" s="27"/>
      <c r="N3" s="1">
        <v>65</v>
      </c>
      <c r="O3" s="1">
        <f>Cotton_Buds[[#This Row],[Цена за 1 бр. в BGN]]*Cotton_Buds[[#This Row],[Поръчано Количество]]</f>
        <v>130</v>
      </c>
      <c r="R3" s="1" t="str" cm="1">
        <f t="array" ref="R3">_xlfn.SWITCH(S3,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" spans="1:19" s="1" customFormat="1" ht="45">
      <c r="A4" s="1" t="s">
        <v>599</v>
      </c>
      <c r="B4" s="1">
        <v>1</v>
      </c>
      <c r="D4" s="27">
        <v>45822</v>
      </c>
      <c r="E4" s="1" t="s">
        <v>600</v>
      </c>
      <c r="F4" s="33">
        <v>45796.44425925926</v>
      </c>
      <c r="H4" s="39"/>
      <c r="I4" s="1" t="s">
        <v>137</v>
      </c>
      <c r="J4" s="27"/>
      <c r="L4" s="27"/>
      <c r="O4" s="1">
        <f>Cotton_Buds[[#This Row],[Цена за 1 бр. в BGN]]*Cotton_Buds[[#This Row],[Поръчано Количество]]</f>
        <v>0</v>
      </c>
      <c r="R4" s="1" t="str" cm="1">
        <f t="array" ref="R4">_xlfn.SWITCH(S4,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" spans="1:19" s="1" customFormat="1" ht="30">
      <c r="A5" s="1" t="s">
        <v>601</v>
      </c>
      <c r="B5" s="1">
        <v>5</v>
      </c>
      <c r="C5" s="1">
        <v>5</v>
      </c>
      <c r="D5" s="27">
        <v>45722</v>
      </c>
      <c r="E5" s="1" t="s">
        <v>602</v>
      </c>
      <c r="F5" s="33">
        <v>45714.439571759256</v>
      </c>
      <c r="G5" s="1" t="s">
        <v>22</v>
      </c>
      <c r="H5" s="1" t="s">
        <v>603</v>
      </c>
      <c r="I5" s="1" t="s">
        <v>73</v>
      </c>
      <c r="J5" s="27">
        <v>45737</v>
      </c>
      <c r="L5" s="27">
        <v>45737</v>
      </c>
      <c r="N5" s="1">
        <v>159.30000000000001</v>
      </c>
      <c r="O5" s="1">
        <f>Cotton_Buds[[#This Row],[Цена за 1 бр. в BGN]]*Cotton_Buds[[#This Row],[Поръчано Количество]]</f>
        <v>796.5</v>
      </c>
      <c r="R5" s="1" t="str" cm="1">
        <f t="array" ref="R5">_xlfn.SWITCH(S5,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" spans="1:19" ht="30">
      <c r="A6" s="1" t="s">
        <v>604</v>
      </c>
      <c r="B6" s="1">
        <v>500</v>
      </c>
      <c r="C6" s="1">
        <v>500</v>
      </c>
      <c r="D6" s="27">
        <v>45716</v>
      </c>
      <c r="E6" s="1" t="s">
        <v>595</v>
      </c>
      <c r="F6" s="33">
        <v>45714.545520833337</v>
      </c>
      <c r="G6" s="1" t="s">
        <v>22</v>
      </c>
      <c r="H6" s="1">
        <v>161900</v>
      </c>
      <c r="I6" s="1" t="s">
        <v>58</v>
      </c>
      <c r="J6" s="27">
        <v>45722</v>
      </c>
      <c r="K6" s="1"/>
      <c r="L6" s="27">
        <v>45722</v>
      </c>
      <c r="M6" s="1">
        <v>500</v>
      </c>
      <c r="N6" s="1">
        <v>0.12348000000000001</v>
      </c>
      <c r="O6" s="1">
        <f>Cotton_Buds[[#This Row],[Цена за 1 бр. в BGN]]*Cotton_Buds[[#This Row],[Поръчано Количество]]</f>
        <v>61.74</v>
      </c>
      <c r="P6" s="1"/>
      <c r="Q6" s="1"/>
      <c r="R6" s="1" t="str" cm="1">
        <f t="array" ref="R6">_xlfn.SWITCH(S6,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" s="1"/>
    </row>
    <row r="7" spans="1:19" ht="75">
      <c r="A7" s="1" t="s">
        <v>605</v>
      </c>
      <c r="B7" s="1">
        <v>1</v>
      </c>
      <c r="C7" s="1"/>
      <c r="D7" s="27">
        <v>45822</v>
      </c>
      <c r="E7" s="1" t="s">
        <v>600</v>
      </c>
      <c r="F7" s="33">
        <v>45796.446180555555</v>
      </c>
      <c r="G7" s="1"/>
      <c r="H7" s="39"/>
      <c r="I7" s="1" t="s">
        <v>137</v>
      </c>
      <c r="J7" s="27"/>
      <c r="K7" s="1"/>
      <c r="L7" s="27"/>
      <c r="M7" s="1"/>
      <c r="N7" s="1"/>
      <c r="O7" s="1">
        <f>Cotton_Buds[[#This Row],[Цена за 1 бр. в BGN]]*Cotton_Buds[[#This Row],[Поръчано Количество]]</f>
        <v>0</v>
      </c>
      <c r="P7" s="1"/>
      <c r="Q7" s="1"/>
      <c r="R7" s="1" t="str" cm="1">
        <f t="array" ref="R7">_xlfn.SWITCH(S7,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7" s="1"/>
    </row>
    <row r="8" spans="1:19">
      <c r="A8" s="1" t="s">
        <v>606</v>
      </c>
      <c r="B8" s="1">
        <v>2</v>
      </c>
      <c r="C8" s="1"/>
      <c r="D8" s="27">
        <v>45812</v>
      </c>
      <c r="E8" s="1" t="s">
        <v>602</v>
      </c>
      <c r="F8" s="33">
        <v>45801.276446759257</v>
      </c>
      <c r="G8" s="1" t="s">
        <v>30</v>
      </c>
      <c r="H8" s="39"/>
      <c r="I8" s="1" t="s">
        <v>607</v>
      </c>
      <c r="J8" s="27"/>
      <c r="K8" s="1"/>
      <c r="L8" s="27"/>
      <c r="M8" s="1"/>
      <c r="N8" s="1"/>
      <c r="O8" s="1">
        <f>Cotton_Buds[[#This Row],[Цена за 1 бр. в BGN]]*Cotton_Buds[[#This Row],[Поръчано Количество]]</f>
        <v>0</v>
      </c>
      <c r="P8" s="1"/>
      <c r="Q8" s="1"/>
      <c r="R8" s="1" t="str" cm="1">
        <f t="array" ref="R8">_xlfn.SWITCH(S8,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8" s="1"/>
    </row>
    <row r="9" spans="1:19">
      <c r="A9" s="1" t="s">
        <v>608</v>
      </c>
      <c r="B9" s="1">
        <v>2</v>
      </c>
      <c r="C9" s="1"/>
      <c r="D9" s="27">
        <v>45812</v>
      </c>
      <c r="E9" s="1" t="s">
        <v>602</v>
      </c>
      <c r="F9" s="33">
        <v>45801.277060185188</v>
      </c>
      <c r="G9" s="1" t="s">
        <v>30</v>
      </c>
      <c r="H9" s="39"/>
      <c r="I9" s="1" t="s">
        <v>607</v>
      </c>
      <c r="J9" s="27"/>
      <c r="K9" s="1"/>
      <c r="L9" s="27"/>
      <c r="M9" s="1"/>
      <c r="N9" s="1"/>
      <c r="O9" s="1">
        <f>Cotton_Buds[[#This Row],[Цена за 1 бр. в BGN]]*Cotton_Buds[[#This Row],[Поръчано Количество]]</f>
        <v>0</v>
      </c>
      <c r="P9" s="1"/>
      <c r="Q9" s="1"/>
      <c r="R9" s="1" t="str" cm="1">
        <f t="array" ref="R9">_xlfn.SWITCH(S9,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9" s="1"/>
    </row>
    <row r="10" spans="1:19" ht="30">
      <c r="A10" s="1" t="s">
        <v>609</v>
      </c>
      <c r="B10" s="1">
        <v>8</v>
      </c>
      <c r="C10" s="1"/>
      <c r="D10" s="27">
        <v>45723</v>
      </c>
      <c r="E10" s="1" t="s">
        <v>610</v>
      </c>
      <c r="F10" s="33">
        <v>45716.217326388891</v>
      </c>
      <c r="G10" s="1" t="s">
        <v>22</v>
      </c>
      <c r="H10" s="1"/>
      <c r="I10" s="1" t="s">
        <v>46</v>
      </c>
      <c r="J10" s="27"/>
      <c r="K10" s="1"/>
      <c r="L10" s="27"/>
      <c r="M10" s="1"/>
      <c r="N10" s="1"/>
      <c r="O10" s="1">
        <f>Cotton_Buds[[#This Row],[Цена за 1 бр. в BGN]]*Cotton_Buds[[#This Row],[Поръчано Количество]]</f>
        <v>0</v>
      </c>
      <c r="P10" s="1"/>
      <c r="Q10" s="1"/>
      <c r="R10" s="1" t="str" cm="1">
        <f t="array" ref="R10">_xlfn.SWITCH(S10,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0" s="1"/>
    </row>
    <row r="11" spans="1:19">
      <c r="A11" s="1" t="s">
        <v>611</v>
      </c>
      <c r="B11" s="1">
        <v>6</v>
      </c>
      <c r="C11" s="1">
        <v>8</v>
      </c>
      <c r="D11" s="27">
        <v>45723</v>
      </c>
      <c r="E11" s="1" t="s">
        <v>612</v>
      </c>
      <c r="F11" s="33">
        <v>45716.221331018518</v>
      </c>
      <c r="G11" s="1" t="s">
        <v>22</v>
      </c>
      <c r="H11" s="1"/>
      <c r="I11" s="1"/>
      <c r="J11" s="27"/>
      <c r="K11" s="1"/>
      <c r="L11" s="27"/>
      <c r="M11" s="1"/>
      <c r="N11" s="1">
        <v>5</v>
      </c>
      <c r="O11" s="1">
        <f>Cotton_Buds[[#This Row],[Цена за 1 бр. в BGN]]*Cotton_Buds[[#This Row],[Поръчано Количество]]</f>
        <v>40</v>
      </c>
      <c r="P11" s="1"/>
      <c r="Q11" s="1"/>
      <c r="R11" s="1" t="str" cm="1">
        <f t="array" ref="R11">_xlfn.SWITCH(S11,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1" s="1"/>
    </row>
    <row r="12" spans="1:19">
      <c r="A12" s="1" t="s">
        <v>613</v>
      </c>
      <c r="B12" s="1">
        <v>10</v>
      </c>
      <c r="C12" s="1"/>
      <c r="D12" s="27">
        <v>45723</v>
      </c>
      <c r="E12" s="1" t="s">
        <v>63</v>
      </c>
      <c r="F12" s="33">
        <v>45716.222094907411</v>
      </c>
      <c r="G12" s="1" t="s">
        <v>22</v>
      </c>
      <c r="H12" s="1"/>
      <c r="I12" s="1" t="s">
        <v>69</v>
      </c>
      <c r="J12" s="27"/>
      <c r="K12" s="1"/>
      <c r="L12" s="27"/>
      <c r="M12" s="1"/>
      <c r="N12" s="1"/>
      <c r="O12" s="1">
        <f>Cotton_Buds[[#This Row],[Цена за 1 бр. в BGN]]*Cotton_Buds[[#This Row],[Поръчано Количество]]</f>
        <v>0</v>
      </c>
      <c r="P12" s="1"/>
      <c r="Q12" s="1"/>
      <c r="R12" s="1" t="str" cm="1">
        <f t="array" ref="R12">_xlfn.SWITCH(S12,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2" s="1"/>
    </row>
    <row r="13" spans="1:19">
      <c r="A13" s="1" t="s">
        <v>614</v>
      </c>
      <c r="B13" s="1">
        <v>2</v>
      </c>
      <c r="C13" s="1"/>
      <c r="D13" s="27">
        <v>45812</v>
      </c>
      <c r="E13" s="1" t="s">
        <v>602</v>
      </c>
      <c r="F13" s="33">
        <v>45801.277974537035</v>
      </c>
      <c r="G13" s="1" t="s">
        <v>30</v>
      </c>
      <c r="H13" s="39"/>
      <c r="I13" s="1" t="s">
        <v>607</v>
      </c>
      <c r="J13" s="27"/>
      <c r="K13" s="1"/>
      <c r="L13" s="27"/>
      <c r="M13" s="1"/>
      <c r="N13" s="1"/>
      <c r="O13" s="1">
        <f>Cotton_Buds[[#This Row],[Цена за 1 бр. в BGN]]*Cotton_Buds[[#This Row],[Поръчано Количество]]</f>
        <v>0</v>
      </c>
      <c r="P13" s="1"/>
      <c r="Q13" s="1"/>
      <c r="R13" s="1" t="str" cm="1">
        <f t="array" ref="R13">_xlfn.SWITCH(S13,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3" s="1"/>
    </row>
    <row r="14" spans="1:19" ht="30">
      <c r="A14" s="1" t="s">
        <v>615</v>
      </c>
      <c r="B14" s="1">
        <v>2</v>
      </c>
      <c r="C14" s="1">
        <v>2</v>
      </c>
      <c r="D14" s="27">
        <v>45723</v>
      </c>
      <c r="E14" s="1" t="s">
        <v>595</v>
      </c>
      <c r="F14" s="33">
        <v>45716.223298611112</v>
      </c>
      <c r="G14" s="1" t="s">
        <v>22</v>
      </c>
      <c r="H14" s="1" t="s">
        <v>103</v>
      </c>
      <c r="I14" s="1" t="s">
        <v>104</v>
      </c>
      <c r="J14" s="27"/>
      <c r="K14" s="1"/>
      <c r="L14" s="27"/>
      <c r="M14" s="1"/>
      <c r="N14" s="1">
        <v>91.43</v>
      </c>
      <c r="O14" s="1">
        <f>Cotton_Buds[[#This Row],[Цена за 1 бр. в BGN]]*Cotton_Buds[[#This Row],[Поръчано Количество]]</f>
        <v>182.86</v>
      </c>
      <c r="P14" s="1"/>
      <c r="Q14" s="1"/>
      <c r="R14" s="1" t="str" cm="1">
        <f t="array" ref="R14">_xlfn.SWITCH(S14,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4" s="1"/>
    </row>
    <row r="15" spans="1:19" ht="30">
      <c r="A15" s="1" t="s">
        <v>616</v>
      </c>
      <c r="B15" s="1">
        <v>3</v>
      </c>
      <c r="C15" s="1">
        <v>3</v>
      </c>
      <c r="D15" s="27">
        <v>45821</v>
      </c>
      <c r="E15" s="1" t="s">
        <v>595</v>
      </c>
      <c r="F15" s="33">
        <v>45805.157962962963</v>
      </c>
      <c r="G15" s="1" t="s">
        <v>22</v>
      </c>
      <c r="H15" s="39" t="s">
        <v>617</v>
      </c>
      <c r="I15" s="1" t="s">
        <v>24</v>
      </c>
      <c r="J15" s="27"/>
      <c r="K15" s="1"/>
      <c r="L15" s="27"/>
      <c r="M15" s="1"/>
      <c r="N15" s="1"/>
      <c r="O15" s="1">
        <f>Cotton_Buds[[#This Row],[Цена за 1 бр. в BGN]]*Cotton_Buds[[#This Row],[Поръчано Количество]]</f>
        <v>0</v>
      </c>
      <c r="P15" s="1"/>
      <c r="Q15" s="1"/>
      <c r="R15" s="1" t="str" cm="1">
        <f t="array" ref="R15">_xlfn.SWITCH(S15,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5" s="1"/>
    </row>
    <row r="16" spans="1:19">
      <c r="A16" s="1" t="s">
        <v>618</v>
      </c>
      <c r="B16" s="1">
        <v>50</v>
      </c>
      <c r="C16" s="1">
        <v>50</v>
      </c>
      <c r="D16" s="27">
        <v>45812</v>
      </c>
      <c r="E16" s="1" t="s">
        <v>619</v>
      </c>
      <c r="F16" s="33">
        <v>45806.395787037036</v>
      </c>
      <c r="G16" s="1" t="s">
        <v>22</v>
      </c>
      <c r="H16" s="39">
        <v>177751</v>
      </c>
      <c r="I16" s="1" t="s">
        <v>58</v>
      </c>
      <c r="J16" s="27">
        <v>45835</v>
      </c>
      <c r="K16" s="1"/>
      <c r="L16" s="27">
        <v>45835</v>
      </c>
      <c r="M16" s="1">
        <v>50</v>
      </c>
      <c r="N16" s="1">
        <f>0.15/50</f>
        <v>3.0000000000000001E-3</v>
      </c>
      <c r="O16" s="1">
        <f>Cotton_Buds[[#This Row],[Цена за 1 бр. в BGN]]*Cotton_Buds[[#This Row],[Поръчано Количество]]</f>
        <v>0.15</v>
      </c>
      <c r="P16" s="1"/>
      <c r="Q16" s="1"/>
      <c r="R16" s="1" t="str" cm="1">
        <f t="array" ref="R16">_xlfn.SWITCH(S16,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6" s="1"/>
    </row>
    <row r="17" spans="1:19">
      <c r="A17" s="1" t="s">
        <v>620</v>
      </c>
      <c r="B17" s="1">
        <v>50</v>
      </c>
      <c r="C17" s="1">
        <v>50</v>
      </c>
      <c r="D17" s="27">
        <v>45812</v>
      </c>
      <c r="E17" s="1" t="s">
        <v>619</v>
      </c>
      <c r="F17" s="33">
        <v>45806.396157407406</v>
      </c>
      <c r="G17" s="1" t="s">
        <v>22</v>
      </c>
      <c r="H17" s="39">
        <v>177751</v>
      </c>
      <c r="I17" s="1" t="s">
        <v>58</v>
      </c>
      <c r="J17" s="27">
        <v>45835</v>
      </c>
      <c r="K17" s="1"/>
      <c r="L17" s="27">
        <v>45835</v>
      </c>
      <c r="M17" s="1">
        <v>50</v>
      </c>
      <c r="N17" s="1">
        <f>0.28/50</f>
        <v>5.6000000000000008E-3</v>
      </c>
      <c r="O17" s="1">
        <f>Cotton_Buds[[#This Row],[Цена за 1 бр. в BGN]]*Cotton_Buds[[#This Row],[Поръчано Количество]]</f>
        <v>0.28000000000000003</v>
      </c>
      <c r="P17" s="1"/>
      <c r="Q17" s="1"/>
      <c r="R17" s="1" t="str" cm="1">
        <f t="array" ref="R17">_xlfn.SWITCH(S17,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7" s="1"/>
    </row>
    <row r="18" spans="1:19">
      <c r="A18" s="1" t="s">
        <v>621</v>
      </c>
      <c r="B18" s="1">
        <v>50</v>
      </c>
      <c r="C18" s="1">
        <v>50</v>
      </c>
      <c r="D18" s="27">
        <v>45812</v>
      </c>
      <c r="E18" s="1" t="s">
        <v>619</v>
      </c>
      <c r="F18" s="33">
        <v>45806.397361111114</v>
      </c>
      <c r="G18" s="1" t="s">
        <v>22</v>
      </c>
      <c r="H18" s="39">
        <v>177751</v>
      </c>
      <c r="I18" s="1" t="s">
        <v>58</v>
      </c>
      <c r="J18" s="27">
        <v>45835</v>
      </c>
      <c r="K18" s="1"/>
      <c r="L18" s="27">
        <v>45835</v>
      </c>
      <c r="M18" s="1">
        <v>50</v>
      </c>
      <c r="N18" s="1">
        <f>0.2/50</f>
        <v>4.0000000000000001E-3</v>
      </c>
      <c r="O18" s="1">
        <f>Cotton_Buds[[#This Row],[Цена за 1 бр. в BGN]]*Cotton_Buds[[#This Row],[Поръчано Количество]]</f>
        <v>0.2</v>
      </c>
      <c r="P18" s="1"/>
      <c r="Q18" s="1"/>
      <c r="R18" s="1" t="str" cm="1">
        <f t="array" ref="R18">_xlfn.SWITCH(S18,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8" s="1"/>
    </row>
    <row r="19" spans="1:19" ht="30">
      <c r="A19" s="1" t="s">
        <v>622</v>
      </c>
      <c r="B19" s="1">
        <v>2</v>
      </c>
      <c r="C19" s="1"/>
      <c r="D19" s="27">
        <v>45723</v>
      </c>
      <c r="E19" s="1" t="s">
        <v>602</v>
      </c>
      <c r="F19" s="33">
        <v>45716.228402777779</v>
      </c>
      <c r="G19" s="1" t="s">
        <v>22</v>
      </c>
      <c r="H19" s="1"/>
      <c r="I19" s="1" t="s">
        <v>48</v>
      </c>
      <c r="J19" s="27"/>
      <c r="K19" s="1"/>
      <c r="L19" s="27"/>
      <c r="M19" s="1"/>
      <c r="N19" s="1"/>
      <c r="O19" s="1">
        <f>Cotton_Buds[[#This Row],[Цена за 1 бр. в BGN]]*Cotton_Buds[[#This Row],[Поръчано Количество]]</f>
        <v>0</v>
      </c>
      <c r="P19" s="1"/>
      <c r="Q19" s="1"/>
      <c r="R19" s="1" t="str" cm="1">
        <f t="array" ref="R19">_xlfn.SWITCH(S19,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9" s="1"/>
    </row>
    <row r="20" spans="1:19" ht="30">
      <c r="A20" s="1" t="s">
        <v>623</v>
      </c>
      <c r="B20" s="1">
        <v>20</v>
      </c>
      <c r="C20" s="1">
        <v>20</v>
      </c>
      <c r="D20" s="27">
        <v>45723</v>
      </c>
      <c r="E20" s="1" t="s">
        <v>595</v>
      </c>
      <c r="F20" s="33">
        <v>45716.229884259257</v>
      </c>
      <c r="G20" s="1" t="s">
        <v>22</v>
      </c>
      <c r="H20" s="1" t="s">
        <v>111</v>
      </c>
      <c r="I20" s="1" t="s">
        <v>112</v>
      </c>
      <c r="J20" s="27">
        <v>45771</v>
      </c>
      <c r="K20" s="1"/>
      <c r="L20" s="27">
        <v>45771</v>
      </c>
      <c r="M20" s="1">
        <v>20</v>
      </c>
      <c r="N20" s="1">
        <v>2.2999999999999998</v>
      </c>
      <c r="O20" s="1">
        <f>Cotton_Buds[[#This Row],[Цена за 1 бр. в BGN]]*Cotton_Buds[[#This Row],[Поръчано Количество]]</f>
        <v>46</v>
      </c>
      <c r="P20" s="1"/>
      <c r="Q20" s="1"/>
      <c r="R20" s="1" t="str" cm="1">
        <f t="array" ref="R20">_xlfn.SWITCH(S20,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0" s="1"/>
    </row>
    <row r="21" spans="1:19">
      <c r="A21" s="1" t="s">
        <v>624</v>
      </c>
      <c r="B21" s="1">
        <v>4</v>
      </c>
      <c r="C21" s="1"/>
      <c r="D21" s="27">
        <v>45812</v>
      </c>
      <c r="E21" s="1" t="s">
        <v>602</v>
      </c>
      <c r="F21" s="33">
        <v>45806.405833333331</v>
      </c>
      <c r="G21" s="1" t="s">
        <v>30</v>
      </c>
      <c r="H21" s="39"/>
      <c r="I21" s="1" t="s">
        <v>625</v>
      </c>
      <c r="J21" s="27"/>
      <c r="K21" s="1"/>
      <c r="L21" s="27"/>
      <c r="M21" s="1"/>
      <c r="N21" s="1"/>
      <c r="O21" s="1">
        <f>Cotton_Buds[[#This Row],[Цена за 1 бр. в BGN]]*Cotton_Buds[[#This Row],[Поръчано Количество]]</f>
        <v>0</v>
      </c>
      <c r="P21" s="1"/>
      <c r="Q21" s="1"/>
      <c r="R21" s="1" t="str" cm="1">
        <f t="array" ref="R21">_xlfn.SWITCH(S21,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1" s="1"/>
    </row>
    <row r="22" spans="1:19">
      <c r="A22" s="1" t="s">
        <v>626</v>
      </c>
      <c r="B22" s="1">
        <v>2</v>
      </c>
      <c r="C22" s="1">
        <v>2</v>
      </c>
      <c r="D22" s="27">
        <v>45723</v>
      </c>
      <c r="E22" s="1" t="s">
        <v>602</v>
      </c>
      <c r="F22" s="33">
        <v>45716.232766203706</v>
      </c>
      <c r="G22" s="1" t="s">
        <v>22</v>
      </c>
      <c r="H22" s="1"/>
      <c r="I22" s="1" t="s">
        <v>625</v>
      </c>
      <c r="J22" s="27">
        <v>45740</v>
      </c>
      <c r="K22" s="1"/>
      <c r="L22" s="27"/>
      <c r="M22" s="1"/>
      <c r="N22" s="1">
        <v>137.6</v>
      </c>
      <c r="O22" s="1">
        <f>Cotton_Buds[[#This Row],[Цена за 1 бр. в BGN]]*Cotton_Buds[[#This Row],[Поръчано Количество]]</f>
        <v>275.2</v>
      </c>
      <c r="P22" s="1"/>
      <c r="Q22" s="1"/>
      <c r="R22" s="1" t="str" cm="1">
        <f t="array" ref="R22">_xlfn.SWITCH(S22,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2" s="1"/>
    </row>
    <row r="23" spans="1:19" ht="30">
      <c r="A23" s="1" t="s">
        <v>627</v>
      </c>
      <c r="B23" s="1">
        <v>5</v>
      </c>
      <c r="C23" s="1">
        <v>5</v>
      </c>
      <c r="D23" s="27">
        <v>45723</v>
      </c>
      <c r="E23" s="1" t="s">
        <v>595</v>
      </c>
      <c r="F23" s="33">
        <v>45716.234155092592</v>
      </c>
      <c r="G23" s="1" t="s">
        <v>22</v>
      </c>
      <c r="H23" s="1" t="s">
        <v>628</v>
      </c>
      <c r="I23" s="1" t="s">
        <v>629</v>
      </c>
      <c r="J23" s="27">
        <v>45777</v>
      </c>
      <c r="K23" s="1"/>
      <c r="L23" s="27"/>
      <c r="M23" s="1"/>
      <c r="N23" s="1">
        <v>19.760000000000002</v>
      </c>
      <c r="O23" s="1">
        <f>Cotton_Buds[[#This Row],[Цена за 1 бр. в BGN]]*Cotton_Buds[[#This Row],[Поръчано Количество]]</f>
        <v>98.800000000000011</v>
      </c>
      <c r="P23" s="1"/>
      <c r="Q23" s="1"/>
      <c r="R23" s="1" t="str" cm="1">
        <f t="array" ref="R23">_xlfn.SWITCH(S23,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3" s="1"/>
    </row>
    <row r="24" spans="1:19" ht="30">
      <c r="A24" s="1" t="s">
        <v>630</v>
      </c>
      <c r="B24" s="1">
        <v>2</v>
      </c>
      <c r="C24" s="1"/>
      <c r="D24" s="27">
        <v>45723</v>
      </c>
      <c r="E24" s="1" t="s">
        <v>595</v>
      </c>
      <c r="F24" s="33">
        <v>45716.234826388885</v>
      </c>
      <c r="G24" s="1" t="s">
        <v>22</v>
      </c>
      <c r="H24" s="1"/>
      <c r="I24" s="1" t="s">
        <v>120</v>
      </c>
      <c r="J24" s="27"/>
      <c r="K24" s="1"/>
      <c r="L24" s="27"/>
      <c r="M24" s="1"/>
      <c r="N24" s="1"/>
      <c r="O24" s="1">
        <f>Cotton_Buds[[#This Row],[Цена за 1 бр. в BGN]]*Cotton_Buds[[#This Row],[Поръчано Количество]]</f>
        <v>0</v>
      </c>
      <c r="P24" s="1"/>
      <c r="Q24" s="1"/>
      <c r="R24" s="1" t="str" cm="1">
        <f t="array" ref="R24">_xlfn.SWITCH(S24,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4" s="1"/>
    </row>
    <row r="25" spans="1:19">
      <c r="A25" s="1" t="s">
        <v>631</v>
      </c>
      <c r="B25" s="1">
        <v>20</v>
      </c>
      <c r="C25" s="1"/>
      <c r="D25" s="27">
        <v>45814</v>
      </c>
      <c r="E25" s="1" t="s">
        <v>600</v>
      </c>
      <c r="F25" s="33">
        <v>45806.407384259262</v>
      </c>
      <c r="G25" s="1" t="s">
        <v>30</v>
      </c>
      <c r="H25" s="39"/>
      <c r="I25" s="1"/>
      <c r="J25" s="27"/>
      <c r="K25" s="1"/>
      <c r="L25" s="27"/>
      <c r="M25" s="1"/>
      <c r="N25" s="1"/>
      <c r="O25" s="1">
        <f>Cotton_Buds[[#This Row],[Цена за 1 бр. в BGN]]*Cotton_Buds[[#This Row],[Поръчано Количество]]</f>
        <v>0</v>
      </c>
      <c r="P25" s="1"/>
      <c r="Q25" s="1"/>
      <c r="R25" s="1" t="str" cm="1">
        <f t="array" ref="R25">_xlfn.SWITCH(S25,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5" s="1"/>
    </row>
    <row r="26" spans="1:19" ht="30">
      <c r="A26" s="1" t="s">
        <v>632</v>
      </c>
      <c r="B26" s="1">
        <v>20</v>
      </c>
      <c r="C26" s="1"/>
      <c r="D26" s="27">
        <v>45814</v>
      </c>
      <c r="E26" s="1" t="s">
        <v>595</v>
      </c>
      <c r="F26" s="33">
        <v>45806.428402777776</v>
      </c>
      <c r="G26" s="1" t="s">
        <v>30</v>
      </c>
      <c r="H26" s="39"/>
      <c r="I26" s="1" t="s">
        <v>633</v>
      </c>
      <c r="J26" s="27"/>
      <c r="K26" s="1"/>
      <c r="L26" s="27"/>
      <c r="M26" s="1"/>
      <c r="N26" s="1"/>
      <c r="O26" s="1">
        <f>Cotton_Buds[[#This Row],[Цена за 1 бр. в BGN]]*Cotton_Buds[[#This Row],[Поръчано Количество]]</f>
        <v>0</v>
      </c>
      <c r="P26" s="1"/>
      <c r="Q26" s="1"/>
      <c r="R26" s="1" t="str" cm="1">
        <f t="array" ref="R26">_xlfn.SWITCH(S26,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6" s="1"/>
    </row>
    <row r="27" spans="1:19">
      <c r="A27" s="1" t="s">
        <v>634</v>
      </c>
      <c r="B27" s="1">
        <v>50</v>
      </c>
      <c r="C27" s="1"/>
      <c r="D27" s="27">
        <v>45818</v>
      </c>
      <c r="E27" s="1" t="s">
        <v>619</v>
      </c>
      <c r="F27" s="33">
        <v>45812.272037037037</v>
      </c>
      <c r="G27" s="1" t="s">
        <v>22</v>
      </c>
      <c r="H27" s="39"/>
      <c r="I27" s="1" t="s">
        <v>58</v>
      </c>
      <c r="J27" s="27"/>
      <c r="K27" s="1"/>
      <c r="L27" s="27"/>
      <c r="M27" s="1"/>
      <c r="N27" s="1"/>
      <c r="O27" s="1">
        <f>Cotton_Buds[[#This Row],[Цена за 1 бр. в BGN]]*Cotton_Buds[[#This Row],[Поръчано Количество]]</f>
        <v>0</v>
      </c>
      <c r="P27" s="1"/>
      <c r="Q27" s="1"/>
      <c r="R27" s="1" t="str" cm="1">
        <f t="array" ref="R27">_xlfn.SWITCH(S27,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7" s="1"/>
    </row>
    <row r="28" spans="1:19">
      <c r="A28" s="1" t="s">
        <v>635</v>
      </c>
      <c r="B28" s="1">
        <v>3</v>
      </c>
      <c r="C28" s="1"/>
      <c r="D28" s="27">
        <v>45736</v>
      </c>
      <c r="E28" s="1" t="s">
        <v>63</v>
      </c>
      <c r="F28" s="33">
        <v>45721.32534722222</v>
      </c>
      <c r="G28" s="1" t="s">
        <v>22</v>
      </c>
      <c r="H28" s="1"/>
      <c r="I28" s="1" t="s">
        <v>69</v>
      </c>
      <c r="J28" s="27"/>
      <c r="K28" s="1"/>
      <c r="L28" s="27"/>
      <c r="M28" s="1"/>
      <c r="N28" s="1"/>
      <c r="O28" s="1">
        <f>Cotton_Buds[[#This Row],[Цена за 1 бр. в BGN]]*Cotton_Buds[[#This Row],[Поръчано Количество]]</f>
        <v>0</v>
      </c>
      <c r="P28" s="1"/>
      <c r="Q28" s="1"/>
      <c r="R28" s="1" t="str" cm="1">
        <f t="array" ref="R28">_xlfn.SWITCH(S28,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8" s="1"/>
    </row>
    <row r="29" spans="1:19" ht="30">
      <c r="A29" s="1" t="s">
        <v>636</v>
      </c>
      <c r="B29" s="1">
        <v>4</v>
      </c>
      <c r="C29" s="1">
        <v>4</v>
      </c>
      <c r="D29" s="27">
        <v>45729</v>
      </c>
      <c r="E29" s="1" t="s">
        <v>63</v>
      </c>
      <c r="F29" s="33">
        <v>45721.327499999999</v>
      </c>
      <c r="G29" s="1" t="s">
        <v>22</v>
      </c>
      <c r="H29" s="38">
        <v>162689</v>
      </c>
      <c r="I29" s="1" t="s">
        <v>58</v>
      </c>
      <c r="J29" s="27">
        <v>45728</v>
      </c>
      <c r="K29" s="1"/>
      <c r="L29" s="27">
        <v>45728</v>
      </c>
      <c r="M29" s="1">
        <v>4</v>
      </c>
      <c r="N29" s="19">
        <f>4.76/2</f>
        <v>2.38</v>
      </c>
      <c r="O29" s="1">
        <f>Cotton_Buds[[#This Row],[Цена за 1 бр. в BGN]]*Cotton_Buds[[#This Row],[Поръчано Количество]]</f>
        <v>9.52</v>
      </c>
      <c r="P29" s="1"/>
      <c r="Q29" s="1"/>
      <c r="R29" s="1" t="str" cm="1">
        <f t="array" ref="R29">_xlfn.SWITCH(S29,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9" s="1"/>
    </row>
    <row r="30" spans="1:19">
      <c r="A30" s="1" t="s">
        <v>637</v>
      </c>
      <c r="B30" s="1">
        <v>3</v>
      </c>
      <c r="C30" s="1">
        <v>3</v>
      </c>
      <c r="D30" s="27">
        <v>45722</v>
      </c>
      <c r="E30" s="1" t="s">
        <v>602</v>
      </c>
      <c r="F30" s="33">
        <v>45721.330763888887</v>
      </c>
      <c r="G30" s="1" t="s">
        <v>22</v>
      </c>
      <c r="H30" s="1">
        <v>2535091031</v>
      </c>
      <c r="I30" s="1" t="s">
        <v>104</v>
      </c>
      <c r="J30" s="27">
        <v>45735</v>
      </c>
      <c r="K30" s="1"/>
      <c r="L30" s="27">
        <v>45726</v>
      </c>
      <c r="M30" s="1"/>
      <c r="N30" s="1">
        <v>120.95</v>
      </c>
      <c r="O30" s="1">
        <f>Cotton_Buds[[#This Row],[Цена за 1 бр. в BGN]]*Cotton_Buds[[#This Row],[Поръчано Количество]]</f>
        <v>362.85</v>
      </c>
      <c r="P30" s="1">
        <v>1460230406</v>
      </c>
      <c r="Q30" s="1"/>
      <c r="R30" s="1" t="str" cm="1">
        <f t="array" ref="R30">_xlfn.SWITCH(S30,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0" s="1"/>
    </row>
    <row r="31" spans="1:19" ht="60">
      <c r="A31" s="1" t="s">
        <v>638</v>
      </c>
      <c r="B31" s="1">
        <v>1</v>
      </c>
      <c r="C31" s="1">
        <v>1</v>
      </c>
      <c r="D31" s="27">
        <v>45721</v>
      </c>
      <c r="E31" s="1" t="s">
        <v>63</v>
      </c>
      <c r="F31" s="33">
        <v>45721.535185185188</v>
      </c>
      <c r="G31" s="1" t="s">
        <v>22</v>
      </c>
      <c r="H31" s="1" t="s">
        <v>639</v>
      </c>
      <c r="I31" s="1" t="s">
        <v>261</v>
      </c>
      <c r="J31" s="27">
        <v>45724</v>
      </c>
      <c r="K31" s="1" t="s">
        <v>640</v>
      </c>
      <c r="L31" s="27">
        <v>45724</v>
      </c>
      <c r="M31" s="1"/>
      <c r="N31" s="1">
        <v>509</v>
      </c>
      <c r="O31" s="1">
        <f>Cotton_Buds[[#This Row],[Цена за 1 бр. в BGN]]*Cotton_Buds[[#This Row],[Поръчано Количество]]</f>
        <v>509</v>
      </c>
      <c r="P31" s="1"/>
      <c r="Q31" s="1"/>
      <c r="R31" s="1" t="str" cm="1">
        <f t="array" ref="R31">_xlfn.SWITCH(S31,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1" s="1"/>
    </row>
    <row r="32" spans="1:19" ht="30">
      <c r="A32" s="1" t="s">
        <v>641</v>
      </c>
      <c r="B32" s="1">
        <v>4</v>
      </c>
      <c r="C32" s="1">
        <v>4</v>
      </c>
      <c r="D32" s="27">
        <v>45727</v>
      </c>
      <c r="E32" s="1" t="s">
        <v>602</v>
      </c>
      <c r="F32" s="33">
        <v>45722.268541666665</v>
      </c>
      <c r="G32" s="1" t="s">
        <v>22</v>
      </c>
      <c r="H32" s="1">
        <v>2535091060</v>
      </c>
      <c r="I32" s="1" t="s">
        <v>104</v>
      </c>
      <c r="J32" s="27">
        <v>45736</v>
      </c>
      <c r="K32" s="1"/>
      <c r="L32" s="27">
        <v>45737</v>
      </c>
      <c r="M32" s="1"/>
      <c r="N32" s="1">
        <v>96.44</v>
      </c>
      <c r="O32" s="1">
        <f>Cotton_Buds[[#This Row],[Цена за 1 бр. в BGN]]*Cotton_Buds[[#This Row],[Поръчано Количество]]</f>
        <v>385.76</v>
      </c>
      <c r="P32" s="1"/>
      <c r="Q32" s="1"/>
      <c r="R32" s="1" t="str" cm="1">
        <f t="array" ref="R32">_xlfn.SWITCH(S32,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2" s="1"/>
    </row>
    <row r="33" spans="1:19">
      <c r="A33" s="1" t="s">
        <v>642</v>
      </c>
      <c r="B33" s="1">
        <v>1</v>
      </c>
      <c r="C33" s="1">
        <v>1</v>
      </c>
      <c r="D33" s="27">
        <v>45736</v>
      </c>
      <c r="E33" s="1" t="s">
        <v>602</v>
      </c>
      <c r="F33" s="33">
        <v>45722.268935185188</v>
      </c>
      <c r="G33" s="1" t="s">
        <v>22</v>
      </c>
      <c r="H33" s="1">
        <v>2535091060</v>
      </c>
      <c r="I33" s="1" t="s">
        <v>104</v>
      </c>
      <c r="J33" s="27">
        <v>45736</v>
      </c>
      <c r="K33" s="1"/>
      <c r="L33" s="27">
        <v>45735</v>
      </c>
      <c r="M33" s="1"/>
      <c r="N33" s="1">
        <v>111.91</v>
      </c>
      <c r="O33" s="1">
        <f>Cotton_Buds[[#This Row],[Цена за 1 бр. в BGN]]*Cotton_Buds[[#This Row],[Поръчано Количество]]</f>
        <v>111.91</v>
      </c>
      <c r="P33" s="1"/>
      <c r="Q33" s="1"/>
      <c r="R33" s="1" t="str" cm="1">
        <f t="array" ref="R33">_xlfn.SWITCH(S33,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3" s="1"/>
    </row>
    <row r="34" spans="1:19">
      <c r="A34" s="1" t="s">
        <v>643</v>
      </c>
      <c r="B34" s="1">
        <v>1</v>
      </c>
      <c r="C34" s="1">
        <v>1</v>
      </c>
      <c r="D34" s="27">
        <v>45728</v>
      </c>
      <c r="E34" s="1" t="s">
        <v>63</v>
      </c>
      <c r="F34" s="33">
        <v>45723.405428240738</v>
      </c>
      <c r="G34" s="1" t="s">
        <v>22</v>
      </c>
      <c r="H34" s="1"/>
      <c r="I34" s="1" t="s">
        <v>644</v>
      </c>
      <c r="J34" s="27">
        <v>45729</v>
      </c>
      <c r="K34" s="1"/>
      <c r="L34" s="27"/>
      <c r="M34" s="1"/>
      <c r="N34" s="1">
        <v>65</v>
      </c>
      <c r="O34" s="1">
        <f>Cotton_Buds[[#This Row],[Цена за 1 бр. в BGN]]*Cotton_Buds[[#This Row],[Поръчано Количество]]</f>
        <v>65</v>
      </c>
      <c r="P34" s="1"/>
      <c r="Q34" s="1"/>
      <c r="R34" s="1" t="str" cm="1">
        <f t="array" ref="R34">_xlfn.SWITCH(S34,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4" s="1"/>
    </row>
    <row r="35" spans="1:19">
      <c r="A35" s="1" t="s">
        <v>645</v>
      </c>
      <c r="B35" s="1">
        <v>3</v>
      </c>
      <c r="C35" s="1">
        <v>3</v>
      </c>
      <c r="D35" s="27">
        <v>45817</v>
      </c>
      <c r="E35" s="1" t="s">
        <v>619</v>
      </c>
      <c r="F35" s="33">
        <v>45812.272997685184</v>
      </c>
      <c r="G35" s="1" t="s">
        <v>22</v>
      </c>
      <c r="H35" s="39">
        <v>177751</v>
      </c>
      <c r="I35" s="1" t="s">
        <v>58</v>
      </c>
      <c r="J35" s="27">
        <v>45835</v>
      </c>
      <c r="K35" s="1"/>
      <c r="L35" s="27">
        <v>45835</v>
      </c>
      <c r="M35" s="1">
        <v>3</v>
      </c>
      <c r="N35" s="1">
        <v>8.6300000000000008</v>
      </c>
      <c r="O35" s="1">
        <f>Cotton_Buds[[#This Row],[Цена за 1 бр. в BGN]]*Cotton_Buds[[#This Row],[Поръчано Количество]]</f>
        <v>25.89</v>
      </c>
      <c r="P35" s="1"/>
      <c r="Q35" s="1"/>
      <c r="R35" s="1" t="str" cm="1">
        <f t="array" ref="R35">_xlfn.SWITCH(S35,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5" s="1"/>
    </row>
    <row r="36" spans="1:19">
      <c r="A36" s="1" t="s">
        <v>646</v>
      </c>
      <c r="B36" s="1">
        <v>30</v>
      </c>
      <c r="C36" s="1">
        <f t="shared" ref="C36:C43" si="0">B36</f>
        <v>30</v>
      </c>
      <c r="D36" s="27">
        <v>45730</v>
      </c>
      <c r="E36" s="1" t="s">
        <v>63</v>
      </c>
      <c r="F36" s="33">
        <v>45726.394016203703</v>
      </c>
      <c r="G36" s="1" t="s">
        <v>22</v>
      </c>
      <c r="H36" s="38">
        <v>162689</v>
      </c>
      <c r="I36" s="1" t="s">
        <v>58</v>
      </c>
      <c r="J36" s="27">
        <v>45728</v>
      </c>
      <c r="K36" s="1"/>
      <c r="L36" s="27">
        <v>45728</v>
      </c>
      <c r="M36" s="1">
        <v>30</v>
      </c>
      <c r="N36" s="19">
        <f>5.39/30</f>
        <v>0.17966666666666667</v>
      </c>
      <c r="O36" s="1">
        <f>Cotton_Buds[[#This Row],[Цена за 1 бр. в BGN]]*Cotton_Buds[[#This Row],[Поръчано Количество]]</f>
        <v>5.39</v>
      </c>
      <c r="P36" s="1"/>
      <c r="Q36" s="1"/>
      <c r="R36" s="1" t="str" cm="1">
        <f t="array" ref="R36">_xlfn.SWITCH(S36,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6" s="1"/>
    </row>
    <row r="37" spans="1:19">
      <c r="A37" s="1" t="s">
        <v>647</v>
      </c>
      <c r="B37" s="1">
        <v>30</v>
      </c>
      <c r="C37" s="1">
        <f t="shared" si="0"/>
        <v>30</v>
      </c>
      <c r="D37" s="27">
        <v>45730</v>
      </c>
      <c r="E37" s="1" t="s">
        <v>63</v>
      </c>
      <c r="F37" s="33">
        <v>45726.393634259257</v>
      </c>
      <c r="G37" s="1" t="s">
        <v>22</v>
      </c>
      <c r="H37" s="38">
        <v>162689</v>
      </c>
      <c r="I37" s="1" t="s">
        <v>58</v>
      </c>
      <c r="J37" s="27">
        <v>45728</v>
      </c>
      <c r="K37" s="1"/>
      <c r="L37" s="27">
        <v>45728</v>
      </c>
      <c r="M37" s="1">
        <v>30</v>
      </c>
      <c r="N37" s="19">
        <f>4.72/30</f>
        <v>0.15733333333333333</v>
      </c>
      <c r="O37" s="1">
        <f>Cotton_Buds[[#This Row],[Цена за 1 бр. в BGN]]*Cotton_Buds[[#This Row],[Поръчано Количество]]</f>
        <v>4.72</v>
      </c>
      <c r="P37" s="1"/>
      <c r="Q37" s="1"/>
      <c r="R37" s="1" t="str" cm="1">
        <f t="array" ref="R37">_xlfn.SWITCH(S37,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7" s="1"/>
    </row>
    <row r="38" spans="1:19">
      <c r="A38" s="1" t="s">
        <v>648</v>
      </c>
      <c r="B38" s="1">
        <v>30</v>
      </c>
      <c r="C38" s="1">
        <f t="shared" si="0"/>
        <v>30</v>
      </c>
      <c r="D38" s="27">
        <v>45730</v>
      </c>
      <c r="E38" s="1" t="s">
        <v>63</v>
      </c>
      <c r="F38" s="33">
        <v>45726.393333333333</v>
      </c>
      <c r="G38" s="1" t="s">
        <v>22</v>
      </c>
      <c r="H38" s="38">
        <v>162689</v>
      </c>
      <c r="I38" s="1" t="s">
        <v>58</v>
      </c>
      <c r="J38" s="27">
        <v>45728</v>
      </c>
      <c r="K38" s="1"/>
      <c r="L38" s="27">
        <v>45728</v>
      </c>
      <c r="M38" s="1">
        <v>30</v>
      </c>
      <c r="N38" s="19">
        <f>7.58/30</f>
        <v>0.25266666666666665</v>
      </c>
      <c r="O38" s="1">
        <f>Cotton_Buds[[#This Row],[Цена за 1 бр. в BGN]]*Cotton_Buds[[#This Row],[Поръчано Количество]]</f>
        <v>7.5799999999999992</v>
      </c>
      <c r="P38" s="1"/>
      <c r="Q38" s="1"/>
      <c r="R38" s="1" t="str" cm="1">
        <f t="array" ref="R38">_xlfn.SWITCH(S38,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8" s="1"/>
    </row>
    <row r="39" spans="1:19">
      <c r="A39" s="1" t="s">
        <v>649</v>
      </c>
      <c r="B39" s="1">
        <v>30</v>
      </c>
      <c r="C39" s="1">
        <f t="shared" si="0"/>
        <v>30</v>
      </c>
      <c r="D39" s="27">
        <v>45730</v>
      </c>
      <c r="E39" s="1" t="s">
        <v>63</v>
      </c>
      <c r="F39" s="33">
        <v>45726.393078703702</v>
      </c>
      <c r="G39" s="1" t="s">
        <v>22</v>
      </c>
      <c r="H39" s="38">
        <v>162689</v>
      </c>
      <c r="I39" s="1" t="s">
        <v>58</v>
      </c>
      <c r="J39" s="27">
        <v>45728</v>
      </c>
      <c r="K39" s="1"/>
      <c r="L39" s="27">
        <v>45728</v>
      </c>
      <c r="M39" s="1">
        <v>30</v>
      </c>
      <c r="N39" s="19">
        <f>6.98/30</f>
        <v>0.23266666666666669</v>
      </c>
      <c r="O39" s="1">
        <f>Cotton_Buds[[#This Row],[Цена за 1 бр. в BGN]]*Cotton_Buds[[#This Row],[Поръчано Количество]]</f>
        <v>6.98</v>
      </c>
      <c r="P39" s="1"/>
      <c r="Q39" s="1"/>
      <c r="R39" s="1" t="str" cm="1">
        <f t="array" ref="R39">_xlfn.SWITCH(S39,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9" s="1"/>
    </row>
    <row r="40" spans="1:19">
      <c r="A40" s="1" t="s">
        <v>650</v>
      </c>
      <c r="B40" s="1">
        <v>30</v>
      </c>
      <c r="C40" s="1">
        <f t="shared" si="0"/>
        <v>30</v>
      </c>
      <c r="D40" s="27">
        <v>45730</v>
      </c>
      <c r="E40" s="1" t="s">
        <v>63</v>
      </c>
      <c r="F40" s="33">
        <v>45726.392905092594</v>
      </c>
      <c r="G40" s="1" t="s">
        <v>22</v>
      </c>
      <c r="H40" s="38">
        <v>162689</v>
      </c>
      <c r="I40" s="1" t="s">
        <v>58</v>
      </c>
      <c r="J40" s="27">
        <v>45728</v>
      </c>
      <c r="K40" s="1"/>
      <c r="L40" s="27">
        <v>45728</v>
      </c>
      <c r="M40" s="1">
        <v>30</v>
      </c>
      <c r="N40" s="19">
        <f>6.7/30</f>
        <v>0.22333333333333333</v>
      </c>
      <c r="O40" s="1">
        <f>Cotton_Buds[[#This Row],[Цена за 1 бр. в BGN]]*Cotton_Buds[[#This Row],[Поръчано Количество]]</f>
        <v>6.7</v>
      </c>
      <c r="P40" s="1"/>
      <c r="Q40" s="1"/>
      <c r="R40" s="1" t="str" cm="1">
        <f t="array" ref="R40">_xlfn.SWITCH(S40,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0" s="1"/>
    </row>
    <row r="41" spans="1:19">
      <c r="A41" s="1" t="s">
        <v>651</v>
      </c>
      <c r="B41" s="1">
        <v>30</v>
      </c>
      <c r="C41" s="1">
        <f t="shared" si="0"/>
        <v>30</v>
      </c>
      <c r="D41" s="27">
        <v>45730</v>
      </c>
      <c r="E41" s="1" t="s">
        <v>63</v>
      </c>
      <c r="F41" s="33">
        <v>45726.39261574074</v>
      </c>
      <c r="G41" s="1" t="s">
        <v>22</v>
      </c>
      <c r="H41" s="38">
        <v>162689</v>
      </c>
      <c r="I41" s="1" t="s">
        <v>58</v>
      </c>
      <c r="J41" s="27">
        <v>45728</v>
      </c>
      <c r="K41" s="1"/>
      <c r="L41" s="27">
        <v>45728</v>
      </c>
      <c r="M41" s="1">
        <v>30</v>
      </c>
      <c r="N41" s="19">
        <f>6.81/30</f>
        <v>0.22699999999999998</v>
      </c>
      <c r="O41" s="1">
        <f>Cotton_Buds[[#This Row],[Цена за 1 бр. в BGN]]*Cotton_Buds[[#This Row],[Поръчано Количество]]</f>
        <v>6.81</v>
      </c>
      <c r="P41" s="1"/>
      <c r="Q41" s="1"/>
      <c r="R41" s="1" t="str" cm="1">
        <f t="array" ref="R41">_xlfn.SWITCH(S41,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1" s="1"/>
    </row>
    <row r="42" spans="1:19">
      <c r="A42" s="1" t="s">
        <v>652</v>
      </c>
      <c r="B42" s="1">
        <v>30</v>
      </c>
      <c r="C42" s="1">
        <f t="shared" si="0"/>
        <v>30</v>
      </c>
      <c r="D42" s="27">
        <v>45730</v>
      </c>
      <c r="E42" s="1" t="s">
        <v>63</v>
      </c>
      <c r="F42" s="33">
        <v>45726.392314814817</v>
      </c>
      <c r="G42" s="1" t="s">
        <v>22</v>
      </c>
      <c r="H42" s="38">
        <v>162689</v>
      </c>
      <c r="I42" s="1" t="s">
        <v>58</v>
      </c>
      <c r="J42" s="27">
        <v>45728</v>
      </c>
      <c r="K42" s="1"/>
      <c r="L42" s="27">
        <v>45728</v>
      </c>
      <c r="M42" s="1">
        <v>30</v>
      </c>
      <c r="N42" s="19">
        <f>5.53/30</f>
        <v>0.18433333333333335</v>
      </c>
      <c r="O42" s="1">
        <f>Cotton_Buds[[#This Row],[Цена за 1 бр. в BGN]]*Cotton_Buds[[#This Row],[Поръчано Количество]]</f>
        <v>5.53</v>
      </c>
      <c r="P42" s="1"/>
      <c r="Q42" s="1"/>
      <c r="R42" s="1" t="str" cm="1">
        <f t="array" ref="R42">_xlfn.SWITCH(S42,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2" s="1"/>
    </row>
    <row r="43" spans="1:19">
      <c r="A43" s="1" t="s">
        <v>653</v>
      </c>
      <c r="B43" s="1">
        <v>30</v>
      </c>
      <c r="C43" s="1">
        <f t="shared" si="0"/>
        <v>30</v>
      </c>
      <c r="D43" s="27">
        <v>45730</v>
      </c>
      <c r="E43" s="1" t="s">
        <v>63</v>
      </c>
      <c r="F43" s="33">
        <v>45726.391793981478</v>
      </c>
      <c r="G43" s="1" t="s">
        <v>22</v>
      </c>
      <c r="H43" s="38">
        <v>162689</v>
      </c>
      <c r="I43" s="1" t="s">
        <v>58</v>
      </c>
      <c r="J43" s="27">
        <v>45728</v>
      </c>
      <c r="K43" s="1"/>
      <c r="L43" s="27">
        <v>45728</v>
      </c>
      <c r="M43" s="1">
        <v>30</v>
      </c>
      <c r="N43" s="19">
        <f>5.21/30</f>
        <v>0.17366666666666666</v>
      </c>
      <c r="O43" s="1">
        <f>Cotton_Buds[[#This Row],[Цена за 1 бр. в BGN]]*Cotton_Buds[[#This Row],[Поръчано Количество]]</f>
        <v>5.21</v>
      </c>
      <c r="P43" s="1"/>
      <c r="Q43" s="1"/>
      <c r="R43" s="1" t="str" cm="1">
        <f t="array" ref="R43">_xlfn.SWITCH(S43,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3" s="1"/>
    </row>
    <row r="44" spans="1:19">
      <c r="A44" s="1" t="s">
        <v>654</v>
      </c>
      <c r="B44" s="1">
        <v>10</v>
      </c>
      <c r="C44" s="1">
        <v>10</v>
      </c>
      <c r="D44" s="27">
        <v>45730</v>
      </c>
      <c r="E44" s="1" t="s">
        <v>63</v>
      </c>
      <c r="F44" s="33">
        <v>45726.389641203707</v>
      </c>
      <c r="G44" s="1" t="s">
        <v>22</v>
      </c>
      <c r="H44" s="1"/>
      <c r="I44" s="1"/>
      <c r="J44" s="27"/>
      <c r="K44" s="1"/>
      <c r="L44" s="27"/>
      <c r="M44" s="1"/>
      <c r="N44" s="1"/>
      <c r="O44" s="1">
        <f>Cotton_Buds[[#This Row],[Цена за 1 бр. в BGN]]*Cotton_Buds[[#This Row],[Поръчано Количество]]</f>
        <v>0</v>
      </c>
      <c r="P44" s="1"/>
      <c r="Q44" s="1"/>
      <c r="R44" s="1" t="str" cm="1">
        <f t="array" ref="R44">_xlfn.SWITCH(S44,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4" s="1"/>
    </row>
    <row r="45" spans="1:19" ht="30">
      <c r="A45" s="1" t="s">
        <v>655</v>
      </c>
      <c r="B45" s="1">
        <v>5</v>
      </c>
      <c r="C45" s="1">
        <v>5</v>
      </c>
      <c r="D45" s="27">
        <v>45821</v>
      </c>
      <c r="E45" s="1" t="s">
        <v>619</v>
      </c>
      <c r="F45" s="33">
        <v>45812.274259259262</v>
      </c>
      <c r="G45" s="1" t="s">
        <v>22</v>
      </c>
      <c r="H45" s="39">
        <v>177751</v>
      </c>
      <c r="I45" s="1" t="s">
        <v>58</v>
      </c>
      <c r="J45" s="27">
        <v>45835</v>
      </c>
      <c r="K45" s="1"/>
      <c r="L45" s="27">
        <v>45835</v>
      </c>
      <c r="M45" s="1">
        <v>2</v>
      </c>
      <c r="N45" s="1">
        <v>27.7</v>
      </c>
      <c r="O45" s="1">
        <f>Cotton_Buds[[#This Row],[Цена за 1 бр. в BGN]]*Cotton_Buds[[#This Row],[Поръчано Количество]]</f>
        <v>138.5</v>
      </c>
      <c r="P45" s="1"/>
      <c r="Q45" s="1"/>
      <c r="R45" s="1" t="str" cm="1">
        <f t="array" ref="R45">_xlfn.SWITCH(S45,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5" s="1"/>
    </row>
    <row r="46" spans="1:19">
      <c r="A46" s="1" t="s">
        <v>656</v>
      </c>
      <c r="B46" s="1">
        <v>500</v>
      </c>
      <c r="C46" s="1"/>
      <c r="D46" s="27">
        <v>45828</v>
      </c>
      <c r="E46" s="1" t="s">
        <v>602</v>
      </c>
      <c r="F46" s="33">
        <v>45812.289641203701</v>
      </c>
      <c r="G46" s="1" t="s">
        <v>22</v>
      </c>
      <c r="H46" s="39" t="s">
        <v>657</v>
      </c>
      <c r="I46" s="1"/>
      <c r="J46" s="27"/>
      <c r="K46" s="1"/>
      <c r="L46" s="27"/>
      <c r="M46" s="1"/>
      <c r="N46" s="1"/>
      <c r="O46" s="1">
        <f>Cotton_Buds[[#This Row],[Цена за 1 бр. в BGN]]*Cotton_Buds[[#This Row],[Поръчано Количество]]</f>
        <v>0</v>
      </c>
      <c r="P46" s="1"/>
      <c r="Q46" s="1"/>
      <c r="R46" s="1" t="str" cm="1">
        <f t="array" ref="R46">_xlfn.SWITCH(S46,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6" s="1"/>
    </row>
    <row r="47" spans="1:19">
      <c r="A47" s="1" t="s">
        <v>658</v>
      </c>
      <c r="B47" s="1">
        <v>30</v>
      </c>
      <c r="C47" s="1">
        <f t="shared" ref="C47:C53" si="1">B47</f>
        <v>30</v>
      </c>
      <c r="D47" s="27">
        <v>45730</v>
      </c>
      <c r="E47" s="1" t="s">
        <v>63</v>
      </c>
      <c r="F47" s="33">
        <v>45726.409016203703</v>
      </c>
      <c r="G47" s="1" t="s">
        <v>22</v>
      </c>
      <c r="H47" s="38">
        <v>162689</v>
      </c>
      <c r="I47" s="1" t="s">
        <v>58</v>
      </c>
      <c r="J47" s="27">
        <v>45728</v>
      </c>
      <c r="K47" s="1"/>
      <c r="L47" s="27">
        <v>45728</v>
      </c>
      <c r="M47" s="1">
        <v>30</v>
      </c>
      <c r="N47" s="19">
        <f>5.21/30</f>
        <v>0.17366666666666666</v>
      </c>
      <c r="O47" s="1">
        <f>Cotton_Buds[[#This Row],[Цена за 1 бр. в BGN]]*Cotton_Buds[[#This Row],[Поръчано Количество]]</f>
        <v>5.21</v>
      </c>
      <c r="P47" s="1"/>
      <c r="Q47" s="1"/>
      <c r="R47" s="1" t="str" cm="1">
        <f t="array" ref="R47">_xlfn.SWITCH(S47,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7" s="1"/>
    </row>
    <row r="48" spans="1:19">
      <c r="A48" s="1" t="s">
        <v>659</v>
      </c>
      <c r="B48" s="1">
        <v>2</v>
      </c>
      <c r="C48" s="1">
        <f t="shared" si="1"/>
        <v>2</v>
      </c>
      <c r="D48" s="27">
        <v>45730</v>
      </c>
      <c r="E48" s="1" t="s">
        <v>619</v>
      </c>
      <c r="F48" s="33">
        <v>45726.480983796297</v>
      </c>
      <c r="G48" s="1" t="s">
        <v>22</v>
      </c>
      <c r="H48" s="38">
        <v>162689</v>
      </c>
      <c r="I48" s="1" t="s">
        <v>58</v>
      </c>
      <c r="J48" s="27">
        <v>45728</v>
      </c>
      <c r="K48" s="1"/>
      <c r="L48" s="27">
        <v>45728</v>
      </c>
      <c r="M48" s="1">
        <v>2</v>
      </c>
      <c r="N48" s="19">
        <f>9.2/2</f>
        <v>4.5999999999999996</v>
      </c>
      <c r="O48" s="1">
        <f>Cotton_Buds[[#This Row],[Цена за 1 бр. в BGN]]*Cotton_Buds[[#This Row],[Поръчано Количество]]</f>
        <v>9.1999999999999993</v>
      </c>
      <c r="P48" s="1"/>
      <c r="Q48" s="1"/>
      <c r="R48" s="1" t="str" cm="1">
        <f t="array" ref="R48">_xlfn.SWITCH(S48,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8" s="1"/>
    </row>
    <row r="49" spans="1:19">
      <c r="A49" s="1" t="s">
        <v>660</v>
      </c>
      <c r="B49" s="1">
        <v>2</v>
      </c>
      <c r="C49" s="1">
        <f t="shared" si="1"/>
        <v>2</v>
      </c>
      <c r="D49" s="27">
        <v>45730</v>
      </c>
      <c r="E49" s="1" t="s">
        <v>619</v>
      </c>
      <c r="F49" s="33">
        <v>45726.48164351852</v>
      </c>
      <c r="G49" s="1" t="s">
        <v>22</v>
      </c>
      <c r="H49" s="38">
        <v>162689</v>
      </c>
      <c r="I49" s="1" t="s">
        <v>58</v>
      </c>
      <c r="J49" s="27">
        <v>45728</v>
      </c>
      <c r="K49" s="1"/>
      <c r="L49" s="27">
        <v>45728</v>
      </c>
      <c r="M49" s="1">
        <v>2</v>
      </c>
      <c r="N49" s="19">
        <f>3.1/2</f>
        <v>1.55</v>
      </c>
      <c r="O49" s="1">
        <f>Cotton_Buds[[#This Row],[Цена за 1 бр. в BGN]]*Cotton_Buds[[#This Row],[Поръчано Количество]]</f>
        <v>3.1</v>
      </c>
      <c r="P49" s="1"/>
      <c r="Q49" s="1"/>
      <c r="R49" s="1" t="str" cm="1">
        <f t="array" ref="R49">_xlfn.SWITCH(S49,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9" s="1"/>
    </row>
    <row r="50" spans="1:19">
      <c r="A50" s="1" t="s">
        <v>661</v>
      </c>
      <c r="B50" s="1">
        <v>2</v>
      </c>
      <c r="C50" s="1">
        <f t="shared" si="1"/>
        <v>2</v>
      </c>
      <c r="D50" s="27">
        <v>45730</v>
      </c>
      <c r="E50" s="1" t="s">
        <v>619</v>
      </c>
      <c r="F50" s="33">
        <v>45726.481874999998</v>
      </c>
      <c r="G50" s="1" t="s">
        <v>22</v>
      </c>
      <c r="H50" s="38">
        <v>162689</v>
      </c>
      <c r="I50" s="1" t="s">
        <v>58</v>
      </c>
      <c r="J50" s="27">
        <v>45728</v>
      </c>
      <c r="K50" s="1"/>
      <c r="L50" s="27">
        <v>45728</v>
      </c>
      <c r="M50" s="1">
        <v>2</v>
      </c>
      <c r="N50" s="19">
        <v>4.3</v>
      </c>
      <c r="O50" s="1">
        <f>Cotton_Buds[[#This Row],[Цена за 1 бр. в BGN]]*Cotton_Buds[[#This Row],[Поръчано Количество]]</f>
        <v>8.6</v>
      </c>
      <c r="P50" s="1"/>
      <c r="Q50" s="1"/>
      <c r="R50" s="1" t="str" cm="1">
        <f t="array" ref="R50">_xlfn.SWITCH(S50,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0" s="1"/>
    </row>
    <row r="51" spans="1:19">
      <c r="A51" s="1" t="s">
        <v>662</v>
      </c>
      <c r="B51" s="1">
        <v>2</v>
      </c>
      <c r="C51" s="1">
        <f t="shared" si="1"/>
        <v>2</v>
      </c>
      <c r="D51" s="27">
        <v>45730</v>
      </c>
      <c r="E51" s="1" t="s">
        <v>619</v>
      </c>
      <c r="F51" s="33">
        <v>45726.482106481482</v>
      </c>
      <c r="G51" s="1" t="s">
        <v>22</v>
      </c>
      <c r="H51" s="38">
        <v>162689</v>
      </c>
      <c r="I51" s="1" t="s">
        <v>58</v>
      </c>
      <c r="J51" s="27">
        <v>45728</v>
      </c>
      <c r="K51" s="1"/>
      <c r="L51" s="27">
        <v>45728</v>
      </c>
      <c r="M51" s="1">
        <v>2</v>
      </c>
      <c r="N51" s="19">
        <v>6.21</v>
      </c>
      <c r="O51" s="1">
        <f>Cotton_Buds[[#This Row],[Цена за 1 бр. в BGN]]*Cotton_Buds[[#This Row],[Поръчано Количество]]</f>
        <v>12.42</v>
      </c>
      <c r="P51" s="1"/>
      <c r="Q51" s="1"/>
      <c r="R51" s="1" t="str" cm="1">
        <f t="array" ref="R51">_xlfn.SWITCH(S51,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1" s="1"/>
    </row>
    <row r="52" spans="1:19">
      <c r="A52" s="1" t="s">
        <v>663</v>
      </c>
      <c r="B52" s="1">
        <v>5</v>
      </c>
      <c r="C52" s="1">
        <f t="shared" si="1"/>
        <v>5</v>
      </c>
      <c r="D52" s="27">
        <v>45730</v>
      </c>
      <c r="E52" s="1" t="s">
        <v>619</v>
      </c>
      <c r="F52" s="33">
        <v>45726.482488425929</v>
      </c>
      <c r="G52" s="1" t="s">
        <v>22</v>
      </c>
      <c r="H52" s="38">
        <v>162689</v>
      </c>
      <c r="I52" s="1" t="s">
        <v>58</v>
      </c>
      <c r="J52" s="27">
        <v>45728</v>
      </c>
      <c r="K52" s="1"/>
      <c r="L52" s="27">
        <v>45728</v>
      </c>
      <c r="M52" s="1">
        <v>5</v>
      </c>
      <c r="N52" s="19">
        <v>1.55</v>
      </c>
      <c r="O52" s="1">
        <f>Cotton_Buds[[#This Row],[Цена за 1 бр. в BGN]]*Cotton_Buds[[#This Row],[Поръчано Количество]]</f>
        <v>7.75</v>
      </c>
      <c r="P52" s="1"/>
      <c r="Q52" s="1"/>
      <c r="R52" s="1" t="str" cm="1">
        <f t="array" ref="R52">_xlfn.SWITCH(S52,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2" s="1"/>
    </row>
    <row r="53" spans="1:19">
      <c r="A53" s="1" t="s">
        <v>664</v>
      </c>
      <c r="B53" s="1">
        <v>5</v>
      </c>
      <c r="C53" s="1">
        <f t="shared" si="1"/>
        <v>5</v>
      </c>
      <c r="D53" s="27">
        <v>45730</v>
      </c>
      <c r="E53" s="1" t="s">
        <v>619</v>
      </c>
      <c r="F53" s="33">
        <v>45726.48269675926</v>
      </c>
      <c r="G53" s="1" t="s">
        <v>22</v>
      </c>
      <c r="H53" s="38">
        <v>162689</v>
      </c>
      <c r="I53" s="1" t="s">
        <v>58</v>
      </c>
      <c r="J53" s="27">
        <v>45728</v>
      </c>
      <c r="K53" s="1"/>
      <c r="L53" s="27">
        <v>45728</v>
      </c>
      <c r="M53" s="1">
        <v>5</v>
      </c>
      <c r="N53" s="19">
        <v>2.73</v>
      </c>
      <c r="O53" s="1">
        <f>Cotton_Buds[[#This Row],[Цена за 1 бр. в BGN]]*Cotton_Buds[[#This Row],[Поръчано Количество]]</f>
        <v>13.65</v>
      </c>
      <c r="P53" s="1"/>
      <c r="Q53" s="1"/>
      <c r="R53" s="1" t="str" cm="1">
        <f t="array" ref="R53">_xlfn.SWITCH(S53,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3" s="1"/>
    </row>
    <row r="54" spans="1:19" ht="30">
      <c r="A54" s="1" t="s">
        <v>665</v>
      </c>
      <c r="B54" s="1">
        <v>3</v>
      </c>
      <c r="C54" s="1">
        <v>3</v>
      </c>
      <c r="D54" s="27">
        <v>45737</v>
      </c>
      <c r="E54" s="1" t="s">
        <v>595</v>
      </c>
      <c r="F54" s="33">
        <v>45727.343738425923</v>
      </c>
      <c r="G54" s="1" t="s">
        <v>22</v>
      </c>
      <c r="H54" s="39" t="s">
        <v>666</v>
      </c>
      <c r="I54" s="1" t="s">
        <v>667</v>
      </c>
      <c r="J54" s="27">
        <v>45737</v>
      </c>
      <c r="K54" s="1"/>
      <c r="L54" s="27">
        <v>45737</v>
      </c>
      <c r="M54" s="1"/>
      <c r="N54" s="1">
        <v>64.680000000000007</v>
      </c>
      <c r="O54" s="1">
        <f>Cotton_Buds[[#This Row],[Цена за 1 бр. в BGN]]*Cotton_Buds[[#This Row],[Поръчано Количество]]</f>
        <v>194.04000000000002</v>
      </c>
      <c r="P54" s="1"/>
      <c r="Q54" s="1"/>
      <c r="R54" s="1" t="str" cm="1">
        <f t="array" ref="R54">_xlfn.SWITCH(S54,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4" s="1"/>
    </row>
    <row r="55" spans="1:19" ht="30">
      <c r="A55" s="1" t="s">
        <v>668</v>
      </c>
      <c r="B55" s="1">
        <v>5</v>
      </c>
      <c r="C55" s="1">
        <v>5</v>
      </c>
      <c r="D55" s="27">
        <v>45737</v>
      </c>
      <c r="E55" s="1" t="s">
        <v>602</v>
      </c>
      <c r="F55" s="33">
        <v>45727.373229166667</v>
      </c>
      <c r="G55" s="1" t="s">
        <v>22</v>
      </c>
      <c r="H55" s="39" t="s">
        <v>666</v>
      </c>
      <c r="I55" s="1" t="s">
        <v>667</v>
      </c>
      <c r="J55" s="27">
        <v>45737</v>
      </c>
      <c r="K55" s="1"/>
      <c r="L55" s="27">
        <v>45737</v>
      </c>
      <c r="M55" s="1"/>
      <c r="N55" s="1">
        <v>12.01</v>
      </c>
      <c r="O55" s="1">
        <f>Cotton_Buds[[#This Row],[Цена за 1 бр. в BGN]]*Cotton_Buds[[#This Row],[Поръчано Количество]]</f>
        <v>60.05</v>
      </c>
      <c r="P55" s="1"/>
      <c r="Q55" s="1"/>
      <c r="R55" s="1" t="str" cm="1">
        <f t="array" ref="R55">_xlfn.SWITCH(S55,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5" s="1"/>
    </row>
    <row r="56" spans="1:19" ht="30">
      <c r="A56" s="1" t="s">
        <v>669</v>
      </c>
      <c r="B56" s="1">
        <v>5</v>
      </c>
      <c r="C56" s="1">
        <v>5</v>
      </c>
      <c r="D56" s="27">
        <v>45737</v>
      </c>
      <c r="E56" s="1" t="s">
        <v>602</v>
      </c>
      <c r="F56" s="33">
        <v>45727.373564814814</v>
      </c>
      <c r="G56" s="1" t="s">
        <v>22</v>
      </c>
      <c r="H56" s="39" t="s">
        <v>666</v>
      </c>
      <c r="I56" s="1" t="s">
        <v>667</v>
      </c>
      <c r="J56" s="27">
        <v>45737</v>
      </c>
      <c r="K56" s="1"/>
      <c r="L56" s="27">
        <v>45737</v>
      </c>
      <c r="M56" s="1"/>
      <c r="N56" s="1">
        <v>10.64</v>
      </c>
      <c r="O56" s="1">
        <f>Cotton_Buds[[#This Row],[Цена за 1 бр. в BGN]]*Cotton_Buds[[#This Row],[Поръчано Количество]]</f>
        <v>53.2</v>
      </c>
      <c r="P56" s="1"/>
      <c r="Q56" s="1"/>
      <c r="R56" s="1" t="str" cm="1">
        <f t="array" ref="R56">_xlfn.SWITCH(S56,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6" s="1"/>
    </row>
    <row r="57" spans="1:19" ht="30">
      <c r="A57" s="1" t="s">
        <v>670</v>
      </c>
      <c r="B57" s="1">
        <v>2</v>
      </c>
      <c r="C57" s="1"/>
      <c r="D57" s="27">
        <v>45821</v>
      </c>
      <c r="E57" s="1" t="s">
        <v>602</v>
      </c>
      <c r="F57" s="33">
        <v>45812.292812500003</v>
      </c>
      <c r="G57" s="1" t="s">
        <v>42</v>
      </c>
      <c r="H57" s="39" t="s">
        <v>671</v>
      </c>
      <c r="I57" s="1" t="s">
        <v>261</v>
      </c>
      <c r="J57" s="27"/>
      <c r="K57" s="1"/>
      <c r="L57" s="27"/>
      <c r="M57" s="1"/>
      <c r="N57" s="1"/>
      <c r="O57" s="1">
        <f>Cotton_Buds[[#This Row],[Цена за 1 бр. в BGN]]*Cotton_Buds[[#This Row],[Поръчано Количество]]</f>
        <v>0</v>
      </c>
      <c r="P57" s="1"/>
      <c r="Q57" s="1"/>
      <c r="R57" s="1" t="str" cm="1">
        <f t="array" ref="R57">_xlfn.SWITCH(S57,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7" s="1"/>
    </row>
    <row r="58" spans="1:19" ht="43.5">
      <c r="A58" s="1" t="s">
        <v>672</v>
      </c>
      <c r="B58" s="1">
        <v>20</v>
      </c>
      <c r="C58" s="1">
        <v>20</v>
      </c>
      <c r="D58" s="27">
        <v>45742</v>
      </c>
      <c r="E58" s="1" t="s">
        <v>602</v>
      </c>
      <c r="F58" s="33">
        <v>45733.204953703702</v>
      </c>
      <c r="G58" s="1" t="s">
        <v>22</v>
      </c>
      <c r="H58" s="39" t="s">
        <v>673</v>
      </c>
      <c r="I58" s="1"/>
      <c r="J58" s="27"/>
      <c r="K58" s="1"/>
      <c r="L58" s="27"/>
      <c r="M58" s="1"/>
      <c r="N58" s="1"/>
      <c r="O58" s="1">
        <f>Cotton_Buds[[#This Row],[Цена за 1 бр. в BGN]]*Cotton_Buds[[#This Row],[Поръчано Количество]]</f>
        <v>0</v>
      </c>
      <c r="P58" s="1"/>
      <c r="Q58" s="1"/>
      <c r="R58" s="1" t="str" cm="1">
        <f t="array" ref="R58">_xlfn.SWITCH(S58,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8" s="1"/>
    </row>
    <row r="59" spans="1:19" ht="43.5">
      <c r="A59" s="1" t="s">
        <v>674</v>
      </c>
      <c r="B59" s="1">
        <v>3</v>
      </c>
      <c r="C59" s="1">
        <v>3</v>
      </c>
      <c r="D59" s="27">
        <v>45747</v>
      </c>
      <c r="E59" s="1" t="s">
        <v>595</v>
      </c>
      <c r="F59" s="33">
        <v>45733.400995370372</v>
      </c>
      <c r="G59" s="1" t="s">
        <v>22</v>
      </c>
      <c r="H59" s="39" t="s">
        <v>673</v>
      </c>
      <c r="I59" s="1" t="s">
        <v>104</v>
      </c>
      <c r="J59" s="27"/>
      <c r="K59" s="1"/>
      <c r="L59" s="27"/>
      <c r="M59" s="1"/>
      <c r="N59" s="1"/>
      <c r="O59" s="1">
        <f>Cotton_Buds[[#This Row],[Цена за 1 бр. в BGN]]*Cotton_Buds[[#This Row],[Поръчано Количество]]</f>
        <v>0</v>
      </c>
      <c r="P59" s="1"/>
      <c r="Q59" s="1"/>
      <c r="R59" s="1" t="str" cm="1">
        <f t="array" ref="R59">_xlfn.SWITCH(S59,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9" s="1"/>
    </row>
    <row r="60" spans="1:19">
      <c r="A60" s="1" t="s">
        <v>675</v>
      </c>
      <c r="B60" s="1">
        <v>10</v>
      </c>
      <c r="C60" s="1">
        <v>10</v>
      </c>
      <c r="D60" s="27">
        <v>45821</v>
      </c>
      <c r="E60" s="1" t="s">
        <v>619</v>
      </c>
      <c r="F60" s="33">
        <v>45814.315625000003</v>
      </c>
      <c r="G60" s="1" t="s">
        <v>22</v>
      </c>
      <c r="H60" s="39" t="s">
        <v>676</v>
      </c>
      <c r="I60" s="1" t="s">
        <v>677</v>
      </c>
      <c r="J60" s="27"/>
      <c r="K60" s="1"/>
      <c r="L60" s="27"/>
      <c r="M60" s="1">
        <v>10</v>
      </c>
      <c r="N60" s="1">
        <v>72.725999999999999</v>
      </c>
      <c r="O60" s="1">
        <f>Cotton_Buds[[#This Row],[Цена за 1 бр. в BGN]]*Cotton_Buds[[#This Row],[Поръчано Количество]]</f>
        <v>727.26</v>
      </c>
      <c r="P60" s="1"/>
      <c r="Q60" s="1"/>
      <c r="R60" s="1" t="str" cm="1">
        <f t="array" ref="R60">_xlfn.SWITCH(S60,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0" s="1"/>
    </row>
    <row r="61" spans="1:19">
      <c r="A61" s="1" t="s">
        <v>678</v>
      </c>
      <c r="B61" s="1">
        <v>10</v>
      </c>
      <c r="C61" s="1">
        <v>10</v>
      </c>
      <c r="D61" s="27">
        <v>45828</v>
      </c>
      <c r="E61" s="1" t="s">
        <v>619</v>
      </c>
      <c r="F61" s="33">
        <v>45818.479849537034</v>
      </c>
      <c r="G61" s="1" t="s">
        <v>22</v>
      </c>
      <c r="H61" s="39" t="s">
        <v>679</v>
      </c>
      <c r="I61" s="1"/>
      <c r="J61" s="27"/>
      <c r="K61" s="1"/>
      <c r="L61" s="27"/>
      <c r="M61" s="1"/>
      <c r="N61" s="1">
        <f>15*1.95568</f>
        <v>29.3352</v>
      </c>
      <c r="O61" s="1">
        <f>Cotton_Buds[[#This Row],[Цена за 1 бр. в BGN]]*Cotton_Buds[[#This Row],[Поръчано Количество]]</f>
        <v>293.35199999999998</v>
      </c>
      <c r="P61" s="1"/>
      <c r="Q61" s="1"/>
      <c r="R61" s="1" t="str" cm="1">
        <f t="array" ref="R61">_xlfn.SWITCH(S61,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1" s="1"/>
    </row>
    <row r="62" spans="1:19" ht="30">
      <c r="A62" s="1" t="s">
        <v>680</v>
      </c>
      <c r="B62" s="1">
        <v>30</v>
      </c>
      <c r="C62" s="1">
        <v>30</v>
      </c>
      <c r="D62" s="27">
        <v>45821</v>
      </c>
      <c r="E62" s="1" t="s">
        <v>619</v>
      </c>
      <c r="F62" s="33">
        <v>45819.177465277775</v>
      </c>
      <c r="G62" s="1" t="s">
        <v>22</v>
      </c>
      <c r="H62" s="39" t="s">
        <v>681</v>
      </c>
      <c r="I62" s="1" t="s">
        <v>104</v>
      </c>
      <c r="J62" s="27"/>
      <c r="K62" s="1"/>
      <c r="L62" s="27">
        <v>45832</v>
      </c>
      <c r="M62" s="1">
        <v>30</v>
      </c>
      <c r="N62" s="1">
        <v>46.23</v>
      </c>
      <c r="O62" s="1">
        <f>Cotton_Buds[[#This Row],[Цена за 1 бр. в BGN]]*Cotton_Buds[[#This Row],[Поръчано Количество]]</f>
        <v>1386.8999999999999</v>
      </c>
      <c r="P62" s="1"/>
      <c r="Q62" s="1"/>
      <c r="R62" s="1" t="str" cm="1">
        <f t="array" ref="R62">_xlfn.SWITCH(S62,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2" s="1"/>
    </row>
    <row r="63" spans="1:19">
      <c r="A63" s="1" t="s">
        <v>682</v>
      </c>
      <c r="B63" s="1">
        <v>10</v>
      </c>
      <c r="C63" s="1"/>
      <c r="D63" s="27">
        <v>45828</v>
      </c>
      <c r="E63" s="1" t="s">
        <v>619</v>
      </c>
      <c r="F63" s="33">
        <v>45819.474537037036</v>
      </c>
      <c r="G63" s="1"/>
      <c r="H63" s="39"/>
      <c r="I63" s="1" t="s">
        <v>31</v>
      </c>
      <c r="J63" s="27"/>
      <c r="K63" s="1"/>
      <c r="L63" s="27"/>
      <c r="M63" s="1"/>
      <c r="N63" s="1">
        <f>15*1.95568</f>
        <v>29.3352</v>
      </c>
      <c r="O63" s="1">
        <f>Cotton_Buds[[#This Row],[Цена за 1 бр. в BGN]]*Cotton_Buds[[#This Row],[Поръчано Количество]]</f>
        <v>0</v>
      </c>
      <c r="P63" s="1"/>
      <c r="Q63" s="1"/>
      <c r="R63" s="1" t="str" cm="1">
        <f t="array" ref="R63">_xlfn.SWITCH(S63,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3" s="1"/>
    </row>
    <row r="64" spans="1:19" ht="30">
      <c r="A64" s="1" t="s">
        <v>683</v>
      </c>
      <c r="B64" s="1">
        <v>7</v>
      </c>
      <c r="C64" s="1"/>
      <c r="D64" s="27">
        <v>45744</v>
      </c>
      <c r="E64" s="1" t="s">
        <v>595</v>
      </c>
      <c r="F64" s="33">
        <v>45741.263043981482</v>
      </c>
      <c r="G64" s="1" t="s">
        <v>22</v>
      </c>
      <c r="H64" s="39"/>
      <c r="I64" s="1"/>
      <c r="J64" s="27"/>
      <c r="K64" s="1"/>
      <c r="L64" s="27"/>
      <c r="M64" s="1"/>
      <c r="N64" s="1"/>
      <c r="O64" s="1">
        <f>Cotton_Buds[[#This Row],[Цена за 1 бр. в BGN]]*Cotton_Buds[[#This Row],[Поръчано Количество]]</f>
        <v>0</v>
      </c>
      <c r="P64" s="1"/>
      <c r="Q64" s="1"/>
      <c r="R64" s="1" t="str" cm="1">
        <f t="array" ref="R64">_xlfn.SWITCH(S64,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4" s="1"/>
    </row>
    <row r="65" spans="1:19">
      <c r="A65" s="1" t="s">
        <v>684</v>
      </c>
      <c r="B65" s="1">
        <v>12</v>
      </c>
      <c r="C65" s="1"/>
      <c r="D65" s="27">
        <v>45745</v>
      </c>
      <c r="E65" s="1" t="s">
        <v>602</v>
      </c>
      <c r="F65" s="33">
        <v>45742.294421296298</v>
      </c>
      <c r="G65" s="1" t="s">
        <v>22</v>
      </c>
      <c r="H65" s="39" t="s">
        <v>685</v>
      </c>
      <c r="I65" s="1" t="s">
        <v>88</v>
      </c>
      <c r="J65" s="27">
        <v>45744</v>
      </c>
      <c r="K65" s="1"/>
      <c r="L65" s="27"/>
      <c r="M65" s="1"/>
      <c r="N65" s="1"/>
      <c r="O65" s="1">
        <f>Cotton_Buds[[#This Row],[Цена за 1 бр. в BGN]]*Cotton_Buds[[#This Row],[Поръчано Количество]]</f>
        <v>0</v>
      </c>
      <c r="P65" s="1"/>
      <c r="Q65" s="1"/>
      <c r="R65" s="1" t="str" cm="1">
        <f t="array" ref="R65">_xlfn.SWITCH(S65,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5" s="1"/>
    </row>
    <row r="66" spans="1:19" ht="45">
      <c r="A66" s="1" t="s">
        <v>686</v>
      </c>
      <c r="B66" s="1">
        <v>1</v>
      </c>
      <c r="C66" s="1"/>
      <c r="D66" s="27">
        <v>45747</v>
      </c>
      <c r="E66" s="1" t="s">
        <v>602</v>
      </c>
      <c r="F66" s="33">
        <v>45743.378738425927</v>
      </c>
      <c r="G66" s="1" t="s">
        <v>22</v>
      </c>
      <c r="H66" s="39" t="s">
        <v>687</v>
      </c>
      <c r="I66" s="1" t="s">
        <v>48</v>
      </c>
      <c r="J66" s="27"/>
      <c r="K66" s="1"/>
      <c r="L66" s="27"/>
      <c r="M66" s="1"/>
      <c r="N66" s="1"/>
      <c r="O66" s="1">
        <f>Cotton_Buds[[#This Row],[Цена за 1 бр. в BGN]]*Cotton_Buds[[#This Row],[Поръчано Количество]]</f>
        <v>0</v>
      </c>
      <c r="P66" s="1"/>
      <c r="Q66" s="1"/>
      <c r="R66" s="1" t="str" cm="1">
        <f t="array" ref="R66">_xlfn.SWITCH(S66,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6" s="1"/>
    </row>
    <row r="67" spans="1:19">
      <c r="A67" s="1" t="s">
        <v>688</v>
      </c>
      <c r="B67" s="1">
        <v>50</v>
      </c>
      <c r="C67" s="1">
        <v>50</v>
      </c>
      <c r="D67" s="27">
        <v>45751</v>
      </c>
      <c r="E67" s="1" t="s">
        <v>619</v>
      </c>
      <c r="F67" s="33">
        <v>45745.481435185182</v>
      </c>
      <c r="G67" s="1" t="s">
        <v>22</v>
      </c>
      <c r="H67" s="39" t="s">
        <v>174</v>
      </c>
      <c r="I67" s="1" t="s">
        <v>58</v>
      </c>
      <c r="J67" s="27">
        <v>45692</v>
      </c>
      <c r="K67" s="1"/>
      <c r="L67" s="27"/>
      <c r="M67" s="1"/>
      <c r="N67" s="1"/>
      <c r="O67" s="1">
        <f>Cotton_Buds[[#This Row],[Цена за 1 бр. в BGN]]*Cotton_Buds[[#This Row],[Поръчано Количество]]</f>
        <v>0</v>
      </c>
      <c r="P67" s="1"/>
      <c r="Q67" s="1"/>
      <c r="R67" s="1" t="str" cm="1">
        <f t="array" ref="R67">_xlfn.SWITCH(S67,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7" s="1"/>
    </row>
    <row r="68" spans="1:19">
      <c r="A68" s="1" t="s">
        <v>689</v>
      </c>
      <c r="B68" s="1">
        <v>30</v>
      </c>
      <c r="C68" s="1">
        <v>30</v>
      </c>
      <c r="D68" s="27">
        <v>45751</v>
      </c>
      <c r="E68" s="1" t="s">
        <v>619</v>
      </c>
      <c r="F68" s="33">
        <v>45745.481747685182</v>
      </c>
      <c r="G68" s="1" t="s">
        <v>22</v>
      </c>
      <c r="H68" s="39"/>
      <c r="I68" s="1" t="s">
        <v>104</v>
      </c>
      <c r="J68" s="27"/>
      <c r="K68" s="1"/>
      <c r="L68" s="27"/>
      <c r="M68" s="1"/>
      <c r="N68" s="1"/>
      <c r="O68" s="1">
        <f>Cotton_Buds[[#This Row],[Цена за 1 бр. в BGN]]*Cotton_Buds[[#This Row],[Поръчано Количество]]</f>
        <v>0</v>
      </c>
      <c r="P68" s="1"/>
      <c r="Q68" s="1"/>
      <c r="R68" s="1" t="str" cm="1">
        <f t="array" ref="R68">_xlfn.SWITCH(S68,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8" s="1"/>
    </row>
    <row r="69" spans="1:19">
      <c r="A69" s="1" t="s">
        <v>690</v>
      </c>
      <c r="B69" s="1">
        <v>4</v>
      </c>
      <c r="C69" s="1"/>
      <c r="D69" s="27">
        <v>45758</v>
      </c>
      <c r="E69" s="1" t="s">
        <v>600</v>
      </c>
      <c r="F69" s="33">
        <v>45745.489062499997</v>
      </c>
      <c r="G69" s="1" t="s">
        <v>22</v>
      </c>
      <c r="H69" s="39"/>
      <c r="I69" s="1" t="s">
        <v>104</v>
      </c>
      <c r="J69" s="27"/>
      <c r="K69" s="1"/>
      <c r="L69" s="27"/>
      <c r="M69" s="1"/>
      <c r="N69" s="1"/>
      <c r="O69" s="1">
        <f>Cotton_Buds[[#This Row],[Цена за 1 бр. в BGN]]*Cotton_Buds[[#This Row],[Поръчано Количество]]</f>
        <v>0</v>
      </c>
      <c r="P69" s="1"/>
      <c r="Q69" s="1"/>
      <c r="R69" s="1" t="str" cm="1">
        <f t="array" ref="R69">_xlfn.SWITCH(S69,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9" s="1"/>
    </row>
    <row r="70" spans="1:19" ht="30">
      <c r="A70" s="1" t="s">
        <v>691</v>
      </c>
      <c r="B70" s="1">
        <v>4</v>
      </c>
      <c r="C70" s="1">
        <v>4</v>
      </c>
      <c r="D70" s="27">
        <v>45758</v>
      </c>
      <c r="E70" s="1" t="s">
        <v>602</v>
      </c>
      <c r="F70" s="33">
        <v>45745.490219907406</v>
      </c>
      <c r="G70" s="1" t="s">
        <v>22</v>
      </c>
      <c r="H70" s="39" t="s">
        <v>692</v>
      </c>
      <c r="I70" s="1" t="s">
        <v>625</v>
      </c>
      <c r="J70" s="27"/>
      <c r="K70" s="1"/>
      <c r="L70" s="27">
        <v>45826</v>
      </c>
      <c r="M70" s="1">
        <v>4</v>
      </c>
      <c r="N70" s="1">
        <v>95.87</v>
      </c>
      <c r="O70" s="1">
        <f>Cotton_Buds[[#This Row],[Цена за 1 бр. в BGN]]*Cotton_Buds[[#This Row],[Поръчано Количество]]</f>
        <v>383.48</v>
      </c>
      <c r="P70" s="1"/>
      <c r="Q70" s="1"/>
      <c r="R70" s="1" t="str" cm="1">
        <f t="array" ref="R70">_xlfn.SWITCH(S70,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70" s="1"/>
    </row>
    <row r="71" spans="1:19">
      <c r="A71" s="1" t="s">
        <v>693</v>
      </c>
      <c r="B71" s="1">
        <v>50</v>
      </c>
      <c r="C71" s="1">
        <v>50</v>
      </c>
      <c r="D71" s="27">
        <v>45751</v>
      </c>
      <c r="E71" s="1" t="s">
        <v>619</v>
      </c>
      <c r="F71" s="33">
        <v>45745.490532407406</v>
      </c>
      <c r="G71" s="1" t="s">
        <v>22</v>
      </c>
      <c r="H71" s="39" t="s">
        <v>174</v>
      </c>
      <c r="I71" s="1" t="s">
        <v>58</v>
      </c>
      <c r="J71" s="27">
        <v>45692</v>
      </c>
      <c r="K71" s="1"/>
      <c r="L71" s="27"/>
      <c r="M71" s="1"/>
      <c r="N71" s="1"/>
      <c r="O71" s="1">
        <f>Cotton_Buds[[#This Row],[Цена за 1 бр. в BGN]]*Cotton_Buds[[#This Row],[Поръчано Количество]]</f>
        <v>0</v>
      </c>
      <c r="P71" s="1"/>
      <c r="Q71" s="1"/>
      <c r="R71" s="1" t="str" cm="1">
        <f t="array" ref="R71">_xlfn.SWITCH(S71,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71" s="1"/>
    </row>
    <row r="72" spans="1:19">
      <c r="A72" s="1" t="s">
        <v>694</v>
      </c>
      <c r="B72" s="1">
        <v>50</v>
      </c>
      <c r="C72" s="1">
        <v>50</v>
      </c>
      <c r="D72" s="27">
        <v>45751</v>
      </c>
      <c r="E72" s="1" t="s">
        <v>619</v>
      </c>
      <c r="F72" s="33">
        <v>45745.490729166668</v>
      </c>
      <c r="G72" s="1" t="s">
        <v>22</v>
      </c>
      <c r="H72" s="39" t="s">
        <v>174</v>
      </c>
      <c r="I72" s="1" t="s">
        <v>58</v>
      </c>
      <c r="J72" s="27">
        <v>45692</v>
      </c>
      <c r="K72" s="1"/>
      <c r="L72" s="27"/>
      <c r="M72" s="1"/>
      <c r="N72" s="1"/>
      <c r="O72" s="1">
        <f>Cotton_Buds[[#This Row],[Цена за 1 бр. в BGN]]*Cotton_Buds[[#This Row],[Поръчано Количество]]</f>
        <v>0</v>
      </c>
      <c r="P72" s="1"/>
      <c r="Q72" s="1"/>
      <c r="R72" s="1" t="str" cm="1">
        <f t="array" ref="R72">_xlfn.SWITCH(S72,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72" s="1"/>
    </row>
    <row r="73" spans="1:19">
      <c r="A73" s="1" t="s">
        <v>695</v>
      </c>
      <c r="B73" s="1">
        <v>2</v>
      </c>
      <c r="C73" s="1">
        <v>2</v>
      </c>
      <c r="D73" s="27">
        <v>45758</v>
      </c>
      <c r="E73" s="1" t="s">
        <v>63</v>
      </c>
      <c r="F73" s="33">
        <v>45745.491180555553</v>
      </c>
      <c r="G73" s="1" t="s">
        <v>22</v>
      </c>
      <c r="H73" s="39" t="s">
        <v>174</v>
      </c>
      <c r="I73" s="1" t="s">
        <v>58</v>
      </c>
      <c r="J73" s="27">
        <v>45692</v>
      </c>
      <c r="K73" s="1"/>
      <c r="L73" s="27"/>
      <c r="M73" s="1"/>
      <c r="N73" s="1">
        <v>19.27</v>
      </c>
      <c r="O73" s="1">
        <f>Cotton_Buds[[#This Row],[Цена за 1 бр. в BGN]]*Cotton_Buds[[#This Row],[Поръчано Количество]]</f>
        <v>38.54</v>
      </c>
      <c r="P73" s="1"/>
      <c r="Q73" s="1"/>
      <c r="R73" s="1" t="str" cm="1">
        <f t="array" ref="R73">_xlfn.SWITCH(S73,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73" s="1"/>
    </row>
    <row r="74" spans="1:19">
      <c r="A74" s="1" t="s">
        <v>696</v>
      </c>
      <c r="B74" s="1">
        <v>2</v>
      </c>
      <c r="C74" s="1">
        <v>2</v>
      </c>
      <c r="D74" s="27">
        <v>45758</v>
      </c>
      <c r="E74" s="1" t="s">
        <v>63</v>
      </c>
      <c r="F74" s="33">
        <v>45745.491365740738</v>
      </c>
      <c r="G74" s="1" t="s">
        <v>22</v>
      </c>
      <c r="H74" s="39" t="s">
        <v>174</v>
      </c>
      <c r="I74" s="1" t="s">
        <v>58</v>
      </c>
      <c r="J74" s="27">
        <v>45692</v>
      </c>
      <c r="K74" s="1"/>
      <c r="L74" s="27"/>
      <c r="M74" s="1"/>
      <c r="N74" s="1">
        <v>17.3</v>
      </c>
      <c r="O74" s="1">
        <f>Cotton_Buds[[#This Row],[Цена за 1 бр. в BGN]]*Cotton_Buds[[#This Row],[Поръчано Количество]]</f>
        <v>34.6</v>
      </c>
      <c r="P74" s="1"/>
      <c r="Q74" s="1"/>
      <c r="R74" s="1" t="str" cm="1">
        <f t="array" ref="R74">_xlfn.SWITCH(S74,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74" s="1"/>
    </row>
    <row r="75" spans="1:19">
      <c r="A75" s="1" t="s">
        <v>697</v>
      </c>
      <c r="B75" s="1">
        <v>2</v>
      </c>
      <c r="C75" s="1">
        <v>2</v>
      </c>
      <c r="D75" s="27">
        <v>45758</v>
      </c>
      <c r="E75" s="1" t="s">
        <v>63</v>
      </c>
      <c r="F75" s="33">
        <v>45745.491539351853</v>
      </c>
      <c r="G75" s="1" t="s">
        <v>22</v>
      </c>
      <c r="H75" s="39" t="s">
        <v>174</v>
      </c>
      <c r="I75" s="1" t="s">
        <v>58</v>
      </c>
      <c r="J75" s="27">
        <v>45692</v>
      </c>
      <c r="K75" s="1"/>
      <c r="L75" s="27"/>
      <c r="M75" s="1"/>
      <c r="N75" s="1">
        <v>18.95</v>
      </c>
      <c r="O75" s="1">
        <f>Cotton_Buds[[#This Row],[Цена за 1 бр. в BGN]]*Cotton_Buds[[#This Row],[Поръчано Количество]]</f>
        <v>37.9</v>
      </c>
      <c r="P75" s="1"/>
      <c r="Q75" s="1"/>
      <c r="R75" s="1" t="str" cm="1">
        <f t="array" ref="R75">_xlfn.SWITCH(S75,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75" s="1"/>
    </row>
    <row r="76" spans="1:19">
      <c r="A76" s="1" t="s">
        <v>698</v>
      </c>
      <c r="B76" s="1">
        <v>2</v>
      </c>
      <c r="C76" s="1">
        <v>2</v>
      </c>
      <c r="D76" s="27">
        <v>45758</v>
      </c>
      <c r="E76" s="1" t="s">
        <v>63</v>
      </c>
      <c r="F76" s="33">
        <v>45745.491759259261</v>
      </c>
      <c r="G76" s="1" t="s">
        <v>22</v>
      </c>
      <c r="H76" s="39" t="s">
        <v>174</v>
      </c>
      <c r="I76" s="1" t="s">
        <v>58</v>
      </c>
      <c r="J76" s="27">
        <v>45692</v>
      </c>
      <c r="K76" s="1"/>
      <c r="L76" s="27"/>
      <c r="M76" s="1"/>
      <c r="N76" s="1">
        <v>19.79</v>
      </c>
      <c r="O76" s="1">
        <f>Cotton_Buds[[#This Row],[Цена за 1 бр. в BGN]]*Cotton_Buds[[#This Row],[Поръчано Количество]]</f>
        <v>39.58</v>
      </c>
      <c r="P76" s="1"/>
      <c r="Q76" s="1"/>
      <c r="R76" s="1" t="str" cm="1">
        <f t="array" ref="R76">_xlfn.SWITCH(S76,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76" s="1"/>
    </row>
    <row r="77" spans="1:19">
      <c r="A77" s="1" t="s">
        <v>699</v>
      </c>
      <c r="B77" s="1">
        <v>1</v>
      </c>
      <c r="C77" s="1"/>
      <c r="D77" s="27">
        <v>45758</v>
      </c>
      <c r="E77" s="1" t="s">
        <v>619</v>
      </c>
      <c r="F77" s="33">
        <v>45745.4921412037</v>
      </c>
      <c r="G77" s="1" t="s">
        <v>22</v>
      </c>
      <c r="H77" s="39" t="s">
        <v>174</v>
      </c>
      <c r="I77" s="1" t="s">
        <v>58</v>
      </c>
      <c r="J77" s="27">
        <v>45692</v>
      </c>
      <c r="K77" s="1"/>
      <c r="L77" s="27"/>
      <c r="M77" s="1"/>
      <c r="N77" s="1"/>
      <c r="O77" s="1">
        <f>Cotton_Buds[[#This Row],[Цена за 1 бр. в BGN]]*Cotton_Buds[[#This Row],[Поръчано Количество]]</f>
        <v>0</v>
      </c>
      <c r="P77" s="1"/>
      <c r="Q77" s="1"/>
      <c r="R77" s="1" t="str" cm="1">
        <f t="array" ref="R77">_xlfn.SWITCH(S77,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77" s="1"/>
    </row>
    <row r="78" spans="1:19">
      <c r="A78" s="1" t="s">
        <v>700</v>
      </c>
      <c r="B78" s="1">
        <v>1</v>
      </c>
      <c r="C78" s="1">
        <v>1</v>
      </c>
      <c r="D78" s="27">
        <v>45758</v>
      </c>
      <c r="E78" s="1" t="s">
        <v>619</v>
      </c>
      <c r="F78" s="33">
        <v>45745.492280092592</v>
      </c>
      <c r="G78" s="1" t="s">
        <v>22</v>
      </c>
      <c r="H78" s="39" t="s">
        <v>174</v>
      </c>
      <c r="I78" s="1" t="s">
        <v>58</v>
      </c>
      <c r="J78" s="27">
        <v>45692</v>
      </c>
      <c r="K78" s="1"/>
      <c r="L78" s="27"/>
      <c r="M78" s="1"/>
      <c r="N78" s="1"/>
      <c r="O78" s="1">
        <f>Cotton_Buds[[#This Row],[Цена за 1 бр. в BGN]]*Cotton_Buds[[#This Row],[Поръчано Количество]]</f>
        <v>0</v>
      </c>
      <c r="P78" s="1"/>
      <c r="Q78" s="1"/>
      <c r="R78" s="1" t="str" cm="1">
        <f t="array" ref="R78">_xlfn.SWITCH(S78,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78" s="1"/>
    </row>
    <row r="79" spans="1:19">
      <c r="A79" s="1" t="s">
        <v>701</v>
      </c>
      <c r="B79" s="1">
        <v>1</v>
      </c>
      <c r="C79" s="1">
        <v>1</v>
      </c>
      <c r="D79" s="27">
        <v>45758</v>
      </c>
      <c r="E79" s="1" t="s">
        <v>619</v>
      </c>
      <c r="F79" s="33">
        <v>45745.492442129631</v>
      </c>
      <c r="G79" s="1" t="s">
        <v>22</v>
      </c>
      <c r="H79" s="39" t="s">
        <v>174</v>
      </c>
      <c r="I79" s="1" t="s">
        <v>58</v>
      </c>
      <c r="J79" s="27">
        <v>45692</v>
      </c>
      <c r="K79" s="1"/>
      <c r="L79" s="27"/>
      <c r="M79" s="1"/>
      <c r="N79" s="1"/>
      <c r="O79" s="1">
        <f>Cotton_Buds[[#This Row],[Цена за 1 бр. в BGN]]*Cotton_Buds[[#This Row],[Поръчано Количество]]</f>
        <v>0</v>
      </c>
      <c r="P79" s="1"/>
      <c r="Q79" s="1"/>
      <c r="R79" s="1" t="str" cm="1">
        <f t="array" ref="R79">_xlfn.SWITCH(S79,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79" s="1"/>
    </row>
    <row r="80" spans="1:19">
      <c r="A80" s="1" t="s">
        <v>702</v>
      </c>
      <c r="B80" s="1">
        <v>1</v>
      </c>
      <c r="C80" s="1">
        <v>1</v>
      </c>
      <c r="D80" s="27">
        <v>45758</v>
      </c>
      <c r="E80" s="1" t="s">
        <v>619</v>
      </c>
      <c r="F80" s="33">
        <v>45745.492754629631</v>
      </c>
      <c r="G80" s="1" t="s">
        <v>22</v>
      </c>
      <c r="H80" s="39" t="s">
        <v>174</v>
      </c>
      <c r="I80" s="1" t="s">
        <v>58</v>
      </c>
      <c r="J80" s="27">
        <v>45692</v>
      </c>
      <c r="K80" s="1"/>
      <c r="L80" s="27"/>
      <c r="M80" s="1"/>
      <c r="N80" s="1"/>
      <c r="O80" s="1">
        <f>Cotton_Buds[[#This Row],[Цена за 1 бр. в BGN]]*Cotton_Buds[[#This Row],[Поръчано Количество]]</f>
        <v>0</v>
      </c>
      <c r="P80" s="1"/>
      <c r="Q80" s="1"/>
      <c r="R80" s="1" t="str" cm="1">
        <f t="array" ref="R80">_xlfn.SWITCH(S80,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80" s="1"/>
    </row>
    <row r="81" spans="1:19" ht="30">
      <c r="A81" s="1" t="s">
        <v>703</v>
      </c>
      <c r="B81" s="1">
        <v>20</v>
      </c>
      <c r="C81" s="1">
        <v>20</v>
      </c>
      <c r="D81" s="27">
        <v>45765</v>
      </c>
      <c r="E81" s="1" t="s">
        <v>602</v>
      </c>
      <c r="F81" s="33">
        <v>45745.494872685187</v>
      </c>
      <c r="G81" s="1" t="s">
        <v>22</v>
      </c>
      <c r="H81" s="39"/>
      <c r="I81" s="1" t="s">
        <v>607</v>
      </c>
      <c r="J81" s="27"/>
      <c r="K81" s="1" t="s">
        <v>704</v>
      </c>
      <c r="L81" s="27"/>
      <c r="M81" s="1">
        <v>20</v>
      </c>
      <c r="N81" s="1"/>
      <c r="O81" s="1">
        <f>Cotton_Buds[[#This Row],[Цена за 1 бр. в BGN]]*Cotton_Buds[[#This Row],[Поръчано Количество]]</f>
        <v>0</v>
      </c>
      <c r="P81" s="1"/>
      <c r="Q81" s="1"/>
      <c r="R81" s="1" t="str" cm="1">
        <f t="array" ref="R81">_xlfn.SWITCH(S81,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81" s="1"/>
    </row>
    <row r="82" spans="1:19" ht="30">
      <c r="A82" s="1" t="s">
        <v>705</v>
      </c>
      <c r="B82" s="1">
        <v>1</v>
      </c>
      <c r="C82" s="1"/>
      <c r="D82" s="27">
        <v>45758</v>
      </c>
      <c r="E82" s="1" t="s">
        <v>595</v>
      </c>
      <c r="F82" s="33">
        <v>45745.558657407404</v>
      </c>
      <c r="G82" s="1" t="s">
        <v>22</v>
      </c>
      <c r="H82" s="39" t="s">
        <v>706</v>
      </c>
      <c r="I82" s="1" t="s">
        <v>46</v>
      </c>
      <c r="J82" s="27"/>
      <c r="K82" s="1"/>
      <c r="L82" s="27">
        <v>45775</v>
      </c>
      <c r="M82" s="1">
        <v>1</v>
      </c>
      <c r="N82" s="1"/>
      <c r="O82" s="1">
        <f>Cotton_Buds[[#This Row],[Цена за 1 бр. в BGN]]*Cotton_Buds[[#This Row],[Поръчано Количество]]</f>
        <v>0</v>
      </c>
      <c r="P82" s="1"/>
      <c r="Q82" s="1"/>
      <c r="R82" s="1" t="str" cm="1">
        <f t="array" ref="R82">_xlfn.SWITCH(S82,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82" s="1"/>
    </row>
    <row r="83" spans="1:19">
      <c r="A83" s="1" t="s">
        <v>707</v>
      </c>
      <c r="B83" s="1">
        <v>4</v>
      </c>
      <c r="C83" s="1">
        <v>2</v>
      </c>
      <c r="D83" s="27">
        <v>45749</v>
      </c>
      <c r="E83" s="1" t="s">
        <v>602</v>
      </c>
      <c r="F83" s="33">
        <v>45749.213993055557</v>
      </c>
      <c r="G83" s="1" t="s">
        <v>22</v>
      </c>
      <c r="H83" s="39" t="s">
        <v>708</v>
      </c>
      <c r="I83" s="1" t="s">
        <v>101</v>
      </c>
      <c r="J83" s="27">
        <v>45751</v>
      </c>
      <c r="K83" s="1"/>
      <c r="L83" s="27">
        <v>45751</v>
      </c>
      <c r="M83" s="1">
        <v>2</v>
      </c>
      <c r="N83" s="1">
        <f>15*1.95568</f>
        <v>29.3352</v>
      </c>
      <c r="O83" s="1">
        <f>Cotton_Buds[[#This Row],[Цена за 1 бр. в BGN]]*Cotton_Buds[[#This Row],[Поръчано Количество]]</f>
        <v>58.670400000000001</v>
      </c>
      <c r="P83" s="1"/>
      <c r="Q83" s="1"/>
      <c r="R83" s="1" t="str" cm="1">
        <f t="array" ref="R83">_xlfn.SWITCH(S83,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83" s="1"/>
    </row>
    <row r="84" spans="1:19" ht="30">
      <c r="A84" s="1" t="s">
        <v>709</v>
      </c>
      <c r="B84" s="1">
        <v>5</v>
      </c>
      <c r="C84" s="1"/>
      <c r="D84" s="27">
        <v>45828</v>
      </c>
      <c r="E84" s="1" t="s">
        <v>619</v>
      </c>
      <c r="F84" s="33">
        <v>45819.476597222223</v>
      </c>
      <c r="G84" s="1" t="s">
        <v>42</v>
      </c>
      <c r="H84" s="39" t="s">
        <v>710</v>
      </c>
      <c r="I84" s="1" t="s">
        <v>711</v>
      </c>
      <c r="J84" s="27"/>
      <c r="K84" s="1"/>
      <c r="L84" s="27"/>
      <c r="M84" s="1"/>
      <c r="N84" s="1">
        <f>15*1.95568</f>
        <v>29.3352</v>
      </c>
      <c r="O84" s="1">
        <f>Cotton_Buds[[#This Row],[Цена за 1 бр. в BGN]]*Cotton_Buds[[#This Row],[Поръчано Количество]]</f>
        <v>0</v>
      </c>
      <c r="P84" s="1"/>
      <c r="Q84" s="1"/>
      <c r="R84" s="1" t="str" cm="1">
        <f t="array" ref="R84">_xlfn.SWITCH(S84,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84" s="1"/>
    </row>
    <row r="85" spans="1:19">
      <c r="A85" s="1" t="s">
        <v>712</v>
      </c>
      <c r="B85" s="1">
        <v>5</v>
      </c>
      <c r="C85" s="1"/>
      <c r="D85" s="27">
        <v>45828</v>
      </c>
      <c r="E85" s="1" t="s">
        <v>619</v>
      </c>
      <c r="F85" s="33">
        <v>45820.233159722222</v>
      </c>
      <c r="G85" s="1" t="s">
        <v>22</v>
      </c>
      <c r="H85" s="39"/>
      <c r="I85" s="1"/>
      <c r="J85" s="27"/>
      <c r="K85" s="1"/>
      <c r="L85" s="27"/>
      <c r="M85" s="1"/>
      <c r="N85" s="1">
        <f>15*1.95568</f>
        <v>29.3352</v>
      </c>
      <c r="O85" s="1">
        <f>Cotton_Buds[[#This Row],[Цена за 1 бр. в BGN]]*Cotton_Buds[[#This Row],[Поръчано Количество]]</f>
        <v>0</v>
      </c>
      <c r="P85" s="1"/>
      <c r="Q85" s="1"/>
      <c r="R85" s="1" t="str" cm="1">
        <f t="array" ref="R85">_xlfn.SWITCH(S85,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85" s="1"/>
    </row>
    <row r="86" spans="1:19" ht="30">
      <c r="A86" s="1" t="s">
        <v>713</v>
      </c>
      <c r="B86" s="1">
        <v>3</v>
      </c>
      <c r="C86" s="1">
        <v>3</v>
      </c>
      <c r="D86" s="27">
        <v>45758</v>
      </c>
      <c r="E86" s="1" t="s">
        <v>595</v>
      </c>
      <c r="F86" s="33">
        <v>45754.404907407406</v>
      </c>
      <c r="G86" s="1" t="s">
        <v>22</v>
      </c>
      <c r="H86" s="39" t="s">
        <v>714</v>
      </c>
      <c r="I86" s="1" t="s">
        <v>667</v>
      </c>
      <c r="J86" s="27"/>
      <c r="K86" s="1"/>
      <c r="L86" s="27"/>
      <c r="M86" s="1"/>
      <c r="N86" s="1">
        <f>30.48*1.9558</f>
        <v>59.612783999999998</v>
      </c>
      <c r="O86" s="1">
        <f>Cotton_Buds[[#This Row],[Цена за 1 бр. в BGN]]*Cotton_Buds[[#This Row],[Поръчано Количество]]</f>
        <v>178.83835199999999</v>
      </c>
      <c r="P86" s="1"/>
      <c r="Q86" s="1"/>
      <c r="R86" s="1" t="str" cm="1">
        <f t="array" ref="R86">_xlfn.SWITCH(S86,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86" s="1"/>
    </row>
    <row r="87" spans="1:19" ht="30">
      <c r="A87" s="1" t="s">
        <v>715</v>
      </c>
      <c r="B87" s="1">
        <v>1</v>
      </c>
      <c r="C87" s="1">
        <v>1</v>
      </c>
      <c r="D87" s="27">
        <v>45754</v>
      </c>
      <c r="E87" s="1" t="s">
        <v>595</v>
      </c>
      <c r="F87" s="33">
        <v>45754.405266203707</v>
      </c>
      <c r="G87" s="1" t="s">
        <v>22</v>
      </c>
      <c r="H87" s="39"/>
      <c r="I87" s="1" t="s">
        <v>120</v>
      </c>
      <c r="J87" s="27">
        <v>45754</v>
      </c>
      <c r="K87" s="1" t="s">
        <v>716</v>
      </c>
      <c r="L87" s="27"/>
      <c r="M87" s="1"/>
      <c r="N87" s="1">
        <v>476</v>
      </c>
      <c r="O87" s="1">
        <f>Cotton_Buds[[#This Row],[Цена за 1 бр. в BGN]]*Cotton_Buds[[#This Row],[Поръчано Количество]]</f>
        <v>476</v>
      </c>
      <c r="P87" s="1"/>
      <c r="Q87" s="1"/>
      <c r="R87" s="1" t="str" cm="1">
        <f t="array" ref="R87">_xlfn.SWITCH(S87,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87" s="1"/>
    </row>
    <row r="88" spans="1:19" ht="30">
      <c r="A88" s="1" t="s">
        <v>717</v>
      </c>
      <c r="B88" s="1">
        <v>3</v>
      </c>
      <c r="C88" s="1">
        <v>3</v>
      </c>
      <c r="D88" s="27">
        <v>45777</v>
      </c>
      <c r="E88" s="1" t="s">
        <v>595</v>
      </c>
      <c r="F88" s="33">
        <v>45754.405578703707</v>
      </c>
      <c r="G88" s="1" t="s">
        <v>22</v>
      </c>
      <c r="H88" s="39" t="s">
        <v>718</v>
      </c>
      <c r="I88" s="1" t="s">
        <v>73</v>
      </c>
      <c r="J88" s="27">
        <v>45781</v>
      </c>
      <c r="K88" s="1"/>
      <c r="L88" s="27"/>
      <c r="M88" s="1"/>
      <c r="N88" s="1">
        <v>34.65</v>
      </c>
      <c r="O88" s="1">
        <f>Cotton_Buds[[#This Row],[Цена за 1 бр. в BGN]]*Cotton_Buds[[#This Row],[Поръчано Количество]]</f>
        <v>103.94999999999999</v>
      </c>
      <c r="P88" s="1"/>
      <c r="Q88" s="1"/>
      <c r="R88" s="1" t="str" cm="1">
        <f t="array" ref="R88">_xlfn.SWITCH(S88,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88" s="1"/>
    </row>
    <row r="89" spans="1:19" ht="30">
      <c r="A89" s="1" t="s">
        <v>719</v>
      </c>
      <c r="B89" s="1">
        <v>1</v>
      </c>
      <c r="C89" s="1"/>
      <c r="D89" s="27">
        <v>45758</v>
      </c>
      <c r="E89" s="1" t="s">
        <v>595</v>
      </c>
      <c r="F89" s="33">
        <v>45754.488715277781</v>
      </c>
      <c r="G89" s="1" t="s">
        <v>22</v>
      </c>
      <c r="H89" s="39"/>
      <c r="I89" s="1"/>
      <c r="J89" s="27"/>
      <c r="K89" s="1"/>
      <c r="L89" s="27"/>
      <c r="M89" s="1"/>
      <c r="N89" s="1"/>
      <c r="O89" s="1">
        <f>Cotton_Buds[[#This Row],[Цена за 1 бр. в BGN]]*Cotton_Buds[[#This Row],[Поръчано Количество]]</f>
        <v>0</v>
      </c>
      <c r="P89" s="1"/>
      <c r="Q89" s="1"/>
      <c r="R89" s="1" t="str" cm="1">
        <f t="array" ref="R89">_xlfn.SWITCH(S89,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89" s="1"/>
    </row>
    <row r="90" spans="1:19" ht="30">
      <c r="A90" s="1" t="s">
        <v>720</v>
      </c>
      <c r="B90" s="1">
        <v>1</v>
      </c>
      <c r="C90" s="1"/>
      <c r="D90" s="27">
        <v>45758</v>
      </c>
      <c r="E90" s="1" t="s">
        <v>595</v>
      </c>
      <c r="F90" s="33">
        <v>45754.491018518522</v>
      </c>
      <c r="G90" s="1" t="s">
        <v>22</v>
      </c>
      <c r="H90" s="39"/>
      <c r="I90" s="1"/>
      <c r="J90" s="27"/>
      <c r="K90" s="1"/>
      <c r="L90" s="27"/>
      <c r="M90" s="1"/>
      <c r="N90" s="1"/>
      <c r="O90" s="1">
        <f>Cotton_Buds[[#This Row],[Цена за 1 бр. в BGN]]*Cotton_Buds[[#This Row],[Поръчано Количество]]</f>
        <v>0</v>
      </c>
      <c r="P90" s="1"/>
      <c r="Q90" s="1"/>
      <c r="R90" s="1" t="str" cm="1">
        <f t="array" ref="R90">_xlfn.SWITCH(S90,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90" s="1"/>
    </row>
    <row r="91" spans="1:19" ht="29.25">
      <c r="A91" s="1" t="s">
        <v>721</v>
      </c>
      <c r="B91" s="1">
        <v>5</v>
      </c>
      <c r="C91" s="1">
        <v>1</v>
      </c>
      <c r="D91" s="27">
        <v>45765</v>
      </c>
      <c r="E91" s="1" t="s">
        <v>63</v>
      </c>
      <c r="F91" s="33">
        <v>45756.19054398148</v>
      </c>
      <c r="G91" s="1" t="s">
        <v>22</v>
      </c>
      <c r="H91" s="39" t="s">
        <v>218</v>
      </c>
      <c r="I91" s="1" t="s">
        <v>58</v>
      </c>
      <c r="J91" s="27">
        <v>45759</v>
      </c>
      <c r="K91" s="1"/>
      <c r="L91" s="27"/>
      <c r="M91" s="1"/>
      <c r="N91" s="1">
        <v>14.05</v>
      </c>
      <c r="O91" s="1">
        <f>Cotton_Buds[[#This Row],[Цена за 1 бр. в BGN]]*Cotton_Buds[[#This Row],[Поръчано Количество]]</f>
        <v>14.05</v>
      </c>
      <c r="P91" s="1"/>
      <c r="Q91" s="1"/>
      <c r="R91" s="1" t="str" cm="1">
        <f t="array" ref="R91">_xlfn.SWITCH(S91,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91" s="1"/>
    </row>
    <row r="92" spans="1:19" ht="29.25">
      <c r="A92" s="1" t="s">
        <v>722</v>
      </c>
      <c r="B92" s="1">
        <v>5</v>
      </c>
      <c r="C92" s="1">
        <v>1</v>
      </c>
      <c r="D92" s="27">
        <v>45765</v>
      </c>
      <c r="E92" s="1" t="s">
        <v>63</v>
      </c>
      <c r="F92" s="33">
        <v>45756.190694444442</v>
      </c>
      <c r="G92" s="1" t="s">
        <v>22</v>
      </c>
      <c r="H92" s="39" t="s">
        <v>218</v>
      </c>
      <c r="I92" s="1" t="s">
        <v>58</v>
      </c>
      <c r="J92" s="27">
        <v>45759</v>
      </c>
      <c r="K92" s="1"/>
      <c r="L92" s="27"/>
      <c r="M92" s="1"/>
      <c r="N92" s="1">
        <v>14.05</v>
      </c>
      <c r="O92" s="1">
        <f>Cotton_Buds[[#This Row],[Цена за 1 бр. в BGN]]*Cotton_Buds[[#This Row],[Поръчано Количество]]</f>
        <v>14.05</v>
      </c>
      <c r="P92" s="1"/>
      <c r="Q92" s="1"/>
      <c r="R92" s="1" t="str" cm="1">
        <f t="array" ref="R92">_xlfn.SWITCH(S92,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92" s="1"/>
    </row>
    <row r="93" spans="1:19" ht="29.25">
      <c r="A93" s="1" t="s">
        <v>457</v>
      </c>
      <c r="B93" s="1">
        <v>5</v>
      </c>
      <c r="C93" s="1">
        <v>1</v>
      </c>
      <c r="D93" s="27">
        <v>45765</v>
      </c>
      <c r="E93" s="1" t="s">
        <v>63</v>
      </c>
      <c r="F93" s="33">
        <v>45756.190844907411</v>
      </c>
      <c r="G93" s="1" t="s">
        <v>22</v>
      </c>
      <c r="H93" s="39" t="s">
        <v>218</v>
      </c>
      <c r="I93" s="1" t="s">
        <v>58</v>
      </c>
      <c r="J93" s="27">
        <v>45759</v>
      </c>
      <c r="K93" s="1"/>
      <c r="L93" s="27"/>
      <c r="M93" s="1"/>
      <c r="N93" s="1">
        <v>13.1</v>
      </c>
      <c r="O93" s="1">
        <f>Cotton_Buds[[#This Row],[Цена за 1 бр. в BGN]]*Cotton_Buds[[#This Row],[Поръчано Количество]]</f>
        <v>13.1</v>
      </c>
      <c r="P93" s="1"/>
      <c r="Q93" s="1"/>
      <c r="R93" s="1" t="str" cm="1">
        <f t="array" ref="R93">_xlfn.SWITCH(S93,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93" s="1"/>
    </row>
    <row r="94" spans="1:19" ht="29.25">
      <c r="A94" s="1" t="s">
        <v>723</v>
      </c>
      <c r="B94" s="1">
        <v>5</v>
      </c>
      <c r="C94" s="1">
        <v>1</v>
      </c>
      <c r="D94" s="27">
        <v>45765</v>
      </c>
      <c r="E94" s="1" t="s">
        <v>63</v>
      </c>
      <c r="F94" s="33">
        <v>45756.190972222219</v>
      </c>
      <c r="G94" s="1" t="s">
        <v>22</v>
      </c>
      <c r="H94" s="39" t="s">
        <v>218</v>
      </c>
      <c r="I94" s="1" t="s">
        <v>58</v>
      </c>
      <c r="J94" s="27">
        <v>45759</v>
      </c>
      <c r="K94" s="1"/>
      <c r="L94" s="27"/>
      <c r="M94" s="1"/>
      <c r="N94" s="1">
        <v>14.62</v>
      </c>
      <c r="O94" s="1">
        <f>Cotton_Buds[[#This Row],[Цена за 1 бр. в BGN]]*Cotton_Buds[[#This Row],[Поръчано Количество]]</f>
        <v>14.62</v>
      </c>
      <c r="P94" s="1"/>
      <c r="Q94" s="1"/>
      <c r="R94" s="1" t="str" cm="1">
        <f t="array" ref="R94">_xlfn.SWITCH(S94,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94" s="1"/>
    </row>
    <row r="95" spans="1:19" ht="29.25">
      <c r="A95" s="1" t="s">
        <v>456</v>
      </c>
      <c r="B95" s="1">
        <v>5</v>
      </c>
      <c r="C95" s="1">
        <v>1</v>
      </c>
      <c r="D95" s="27">
        <v>45765</v>
      </c>
      <c r="E95" s="1" t="s">
        <v>63</v>
      </c>
      <c r="F95" s="33">
        <v>45756.191203703704</v>
      </c>
      <c r="G95" s="1" t="s">
        <v>22</v>
      </c>
      <c r="H95" s="39" t="s">
        <v>218</v>
      </c>
      <c r="I95" s="1" t="s">
        <v>58</v>
      </c>
      <c r="J95" s="27">
        <v>45759</v>
      </c>
      <c r="K95" s="1"/>
      <c r="L95" s="27"/>
      <c r="M95" s="1"/>
      <c r="N95" s="1">
        <v>15.91</v>
      </c>
      <c r="O95" s="1">
        <f>Cotton_Buds[[#This Row],[Цена за 1 бр. в BGN]]*Cotton_Buds[[#This Row],[Поръчано Количество]]</f>
        <v>15.91</v>
      </c>
      <c r="P95" s="1"/>
      <c r="Q95" s="1"/>
      <c r="R95" s="1" t="str" cm="1">
        <f t="array" ref="R95">_xlfn.SWITCH(S95,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95" s="1"/>
    </row>
    <row r="96" spans="1:19" ht="29.25">
      <c r="A96" s="1" t="s">
        <v>724</v>
      </c>
      <c r="B96" s="1">
        <v>5</v>
      </c>
      <c r="C96" s="1">
        <v>1</v>
      </c>
      <c r="D96" s="27">
        <v>45765</v>
      </c>
      <c r="E96" s="1" t="s">
        <v>63</v>
      </c>
      <c r="F96" s="33">
        <v>45756.192106481481</v>
      </c>
      <c r="G96" s="1" t="s">
        <v>22</v>
      </c>
      <c r="H96" s="39" t="s">
        <v>218</v>
      </c>
      <c r="I96" s="1" t="s">
        <v>58</v>
      </c>
      <c r="J96" s="27">
        <v>45759</v>
      </c>
      <c r="K96" s="1"/>
      <c r="L96" s="27"/>
      <c r="M96" s="1"/>
      <c r="N96" s="1">
        <v>17.71</v>
      </c>
      <c r="O96" s="1">
        <f>Cotton_Buds[[#This Row],[Цена за 1 бр. в BGN]]*Cotton_Buds[[#This Row],[Поръчано Количество]]</f>
        <v>17.71</v>
      </c>
      <c r="P96" s="1"/>
      <c r="Q96" s="1"/>
      <c r="R96" s="1" t="str" cm="1">
        <f t="array" ref="R96">_xlfn.SWITCH(S96,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96" s="1"/>
    </row>
    <row r="97" spans="1:19" ht="30.75" thickBot="1">
      <c r="A97" s="1" t="s">
        <v>725</v>
      </c>
      <c r="B97" s="1">
        <v>5</v>
      </c>
      <c r="C97" s="1">
        <v>5</v>
      </c>
      <c r="D97" s="27">
        <v>45765</v>
      </c>
      <c r="E97" s="1" t="s">
        <v>595</v>
      </c>
      <c r="F97" s="33">
        <v>45756.192430555559</v>
      </c>
      <c r="G97" s="1" t="s">
        <v>22</v>
      </c>
      <c r="H97" t="s">
        <v>100</v>
      </c>
      <c r="I97" s="1" t="s">
        <v>101</v>
      </c>
      <c r="J97" s="27"/>
      <c r="K97" s="1"/>
      <c r="L97" s="27">
        <v>45791</v>
      </c>
      <c r="M97" s="1"/>
      <c r="N97" s="49">
        <v>30</v>
      </c>
      <c r="O97" s="1">
        <f>Cotton_Buds[[#This Row],[Цена за 1 бр. в BGN]]*Cotton_Buds[[#This Row],[Поръчано Количество]]</f>
        <v>150</v>
      </c>
      <c r="P97" s="1"/>
      <c r="Q97" s="1"/>
      <c r="R97" s="1" t="str" cm="1">
        <f t="array" ref="R97">_xlfn.SWITCH(S97,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97" s="1"/>
    </row>
    <row r="98" spans="1:19" ht="30.75" thickBot="1">
      <c r="A98" s="1" t="s">
        <v>726</v>
      </c>
      <c r="B98" s="1">
        <v>2</v>
      </c>
      <c r="C98" s="1"/>
      <c r="D98" s="27">
        <v>45765</v>
      </c>
      <c r="E98" s="1" t="s">
        <v>602</v>
      </c>
      <c r="F98" s="33">
        <v>45756.26971064815</v>
      </c>
      <c r="G98" s="1" t="s">
        <v>22</v>
      </c>
      <c r="H98" s="39" t="s">
        <v>727</v>
      </c>
      <c r="I98" s="1" t="s">
        <v>607</v>
      </c>
      <c r="J98" s="27"/>
      <c r="K98" s="1"/>
      <c r="L98" s="27"/>
      <c r="M98" s="1"/>
      <c r="N98" s="49"/>
      <c r="O98" s="1">
        <f>Cotton_Buds[[#This Row],[Цена за 1 бр. в BGN]]*Cotton_Buds[[#This Row],[Поръчано Количество]]</f>
        <v>0</v>
      </c>
      <c r="P98" s="1"/>
      <c r="Q98" s="1"/>
      <c r="R98" s="1" t="str" cm="1">
        <f t="array" ref="R98">_xlfn.SWITCH(S98,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98" s="1"/>
    </row>
    <row r="99" spans="1:19">
      <c r="A99" s="1" t="s">
        <v>728</v>
      </c>
      <c r="B99" s="1">
        <v>2</v>
      </c>
      <c r="C99" s="1">
        <v>3</v>
      </c>
      <c r="D99" s="27">
        <v>45828</v>
      </c>
      <c r="E99" s="1" t="s">
        <v>600</v>
      </c>
      <c r="F99" s="33">
        <v>45821.476851851854</v>
      </c>
      <c r="G99" s="1" t="s">
        <v>22</v>
      </c>
      <c r="H99" s="39" t="s">
        <v>729</v>
      </c>
      <c r="I99" s="1"/>
      <c r="J99" s="27"/>
      <c r="K99" s="1"/>
      <c r="L99" s="27"/>
      <c r="M99" s="1"/>
      <c r="N99" s="1">
        <f>15*1.95568</f>
        <v>29.3352</v>
      </c>
      <c r="O99" s="1">
        <f>Cotton_Buds[[#This Row],[Цена за 1 бр. в BGN]]*Cotton_Buds[[#This Row],[Поръчано Количество]]</f>
        <v>88.005600000000001</v>
      </c>
      <c r="P99" s="1"/>
      <c r="Q99" s="1"/>
      <c r="R99" s="1" t="str" cm="1">
        <f t="array" ref="R99">_xlfn.SWITCH(S99,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99" s="1"/>
    </row>
    <row r="100" spans="1:19" ht="45">
      <c r="A100" s="1" t="s">
        <v>730</v>
      </c>
      <c r="B100" s="1">
        <v>20</v>
      </c>
      <c r="C100" s="1">
        <v>10</v>
      </c>
      <c r="D100" s="27">
        <v>45715</v>
      </c>
      <c r="E100" s="1" t="s">
        <v>602</v>
      </c>
      <c r="F100" s="33">
        <v>45714.277777777781</v>
      </c>
      <c r="G100" s="1" t="s">
        <v>731</v>
      </c>
      <c r="H100" s="1" t="s">
        <v>727</v>
      </c>
      <c r="I100" s="1" t="s">
        <v>607</v>
      </c>
      <c r="J100" s="27"/>
      <c r="K100" s="1"/>
      <c r="L100" s="27"/>
      <c r="M100" s="1"/>
      <c r="N100" s="1"/>
      <c r="O100" s="1">
        <f>Cotton_Buds[[#This Row],[Цена за 1 бр. в BGN]]*Cotton_Buds[[#This Row],[Поръчано Количество]]</f>
        <v>0</v>
      </c>
      <c r="P100" s="1"/>
      <c r="Q100" s="1"/>
      <c r="R100" s="1" t="str" cm="1">
        <f t="array" ref="R100">_xlfn.SWITCH(S100,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00" s="1"/>
    </row>
    <row r="101" spans="1:19" ht="30">
      <c r="A101" s="1" t="s">
        <v>732</v>
      </c>
      <c r="B101" s="1">
        <v>32</v>
      </c>
      <c r="C101" s="1"/>
      <c r="D101" s="27">
        <v>45722</v>
      </c>
      <c r="E101" s="1" t="s">
        <v>602</v>
      </c>
      <c r="F101" s="33">
        <v>45714.416388888887</v>
      </c>
      <c r="G101" s="1" t="s">
        <v>30</v>
      </c>
      <c r="H101" s="1"/>
      <c r="I101" s="1" t="s">
        <v>607</v>
      </c>
      <c r="J101" s="27"/>
      <c r="K101" s="1"/>
      <c r="L101" s="27"/>
      <c r="M101" s="1"/>
      <c r="N101" s="1"/>
      <c r="O101" s="1">
        <f>Cotton_Buds[[#This Row],[Цена за 1 бр. в BGN]]*Cotton_Buds[[#This Row],[Поръчано Количество]]</f>
        <v>0</v>
      </c>
      <c r="P101" s="1"/>
      <c r="Q101" s="1"/>
      <c r="R101" s="1" t="str" cm="1">
        <f t="array" ref="R101">_xlfn.SWITCH(S101,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01" s="1"/>
    </row>
    <row r="102" spans="1:19" ht="30">
      <c r="A102" s="1" t="s">
        <v>733</v>
      </c>
      <c r="B102" s="1">
        <v>50</v>
      </c>
      <c r="C102" s="1">
        <f>Cotton_Buds[[#This Row],[Желано количество]]</f>
        <v>50</v>
      </c>
      <c r="D102" s="27">
        <v>45772</v>
      </c>
      <c r="E102" s="1" t="s">
        <v>595</v>
      </c>
      <c r="F102" s="33">
        <v>45757.42633101852</v>
      </c>
      <c r="G102" s="1" t="s">
        <v>22</v>
      </c>
      <c r="H102" s="39" t="s">
        <v>218</v>
      </c>
      <c r="I102" s="1" t="s">
        <v>58</v>
      </c>
      <c r="J102" s="27">
        <v>45759</v>
      </c>
      <c r="K102" s="1"/>
      <c r="L102" s="27"/>
      <c r="M102" s="1"/>
      <c r="N102" s="1">
        <v>0.06</v>
      </c>
      <c r="O102" s="1">
        <f>Cotton_Buds[[#This Row],[Цена за 1 бр. в BGN]]*Cotton_Buds[[#This Row],[Поръчано Количество]]</f>
        <v>3</v>
      </c>
      <c r="P102" s="1"/>
      <c r="Q102" s="1"/>
      <c r="R102" s="1" t="str" cm="1">
        <f t="array" ref="R102">_xlfn.SWITCH(S102,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02" s="1"/>
    </row>
    <row r="103" spans="1:19" ht="30">
      <c r="A103" s="1" t="s">
        <v>734</v>
      </c>
      <c r="B103" s="1">
        <v>50</v>
      </c>
      <c r="C103" s="1">
        <f>Cotton_Buds[[#This Row],[Желано количество]]</f>
        <v>50</v>
      </c>
      <c r="D103" s="27">
        <v>45772</v>
      </c>
      <c r="E103" s="1" t="s">
        <v>595</v>
      </c>
      <c r="F103" s="33">
        <v>45757.426701388889</v>
      </c>
      <c r="G103" s="1" t="s">
        <v>22</v>
      </c>
      <c r="H103" s="39" t="s">
        <v>218</v>
      </c>
      <c r="I103" s="1" t="s">
        <v>58</v>
      </c>
      <c r="J103" s="27">
        <v>45759</v>
      </c>
      <c r="K103" s="1"/>
      <c r="L103" s="27"/>
      <c r="M103" s="1"/>
      <c r="N103" s="1">
        <v>0.06</v>
      </c>
      <c r="O103" s="1">
        <f>Cotton_Buds[[#This Row],[Цена за 1 бр. в BGN]]*Cotton_Buds[[#This Row],[Поръчано Количество]]</f>
        <v>3</v>
      </c>
      <c r="P103" s="1"/>
      <c r="Q103" s="1"/>
      <c r="R103" s="1" t="str" cm="1">
        <f t="array" ref="R103">_xlfn.SWITCH(S103,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03" s="1"/>
    </row>
    <row r="104" spans="1:19" ht="30">
      <c r="A104" s="1" t="s">
        <v>735</v>
      </c>
      <c r="B104" s="1">
        <v>50</v>
      </c>
      <c r="C104" s="1">
        <f>Cotton_Buds[[#This Row],[Желано количество]]</f>
        <v>50</v>
      </c>
      <c r="D104" s="27">
        <v>45772</v>
      </c>
      <c r="E104" s="1" t="s">
        <v>595</v>
      </c>
      <c r="F104" s="33">
        <v>45757.427199074074</v>
      </c>
      <c r="G104" s="1" t="s">
        <v>22</v>
      </c>
      <c r="H104" s="39" t="s">
        <v>218</v>
      </c>
      <c r="I104" s="1" t="s">
        <v>58</v>
      </c>
      <c r="J104" s="27">
        <v>45759</v>
      </c>
      <c r="K104" s="1"/>
      <c r="L104" s="27"/>
      <c r="M104" s="1"/>
      <c r="N104" s="1"/>
      <c r="O104" s="1">
        <f>Cotton_Buds[[#This Row],[Цена за 1 бр. в BGN]]*Cotton_Buds[[#This Row],[Поръчано Количество]]</f>
        <v>0</v>
      </c>
      <c r="P104" s="1"/>
      <c r="Q104" s="1"/>
      <c r="R104" s="1" t="str" cm="1">
        <f t="array" ref="R104">_xlfn.SWITCH(S104,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04" s="1"/>
    </row>
    <row r="105" spans="1:19" ht="30">
      <c r="A105" s="1" t="s">
        <v>736</v>
      </c>
      <c r="B105" s="1">
        <v>50</v>
      </c>
      <c r="C105" s="1">
        <f>Cotton_Buds[[#This Row],[Желано количество]]</f>
        <v>50</v>
      </c>
      <c r="D105" s="27">
        <v>45772</v>
      </c>
      <c r="E105" s="1" t="s">
        <v>619</v>
      </c>
      <c r="F105" s="33">
        <v>45757.427384259259</v>
      </c>
      <c r="G105" s="1" t="s">
        <v>22</v>
      </c>
      <c r="H105" s="39" t="s">
        <v>218</v>
      </c>
      <c r="I105" s="1" t="s">
        <v>58</v>
      </c>
      <c r="J105" s="27">
        <v>45759</v>
      </c>
      <c r="K105" s="1"/>
      <c r="L105" s="27"/>
      <c r="M105" s="1"/>
      <c r="N105" s="1"/>
      <c r="O105" s="1">
        <f>Cotton_Buds[[#This Row],[Цена за 1 бр. в BGN]]*Cotton_Buds[[#This Row],[Поръчано Количество]]</f>
        <v>0</v>
      </c>
      <c r="P105" s="1"/>
      <c r="Q105" s="1"/>
      <c r="R105" s="1" t="str" cm="1">
        <f t="array" ref="R105">_xlfn.SWITCH(S105,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05" s="1"/>
    </row>
    <row r="106" spans="1:19" ht="30">
      <c r="A106" s="1" t="s">
        <v>737</v>
      </c>
      <c r="B106" s="1">
        <v>50</v>
      </c>
      <c r="C106" s="1">
        <f>Cotton_Buds[[#This Row],[Желано количество]]</f>
        <v>50</v>
      </c>
      <c r="D106" s="27">
        <v>45772</v>
      </c>
      <c r="E106" s="1" t="s">
        <v>619</v>
      </c>
      <c r="F106" s="33">
        <v>45757.427685185183</v>
      </c>
      <c r="G106" s="1" t="s">
        <v>22</v>
      </c>
      <c r="H106" s="39" t="s">
        <v>218</v>
      </c>
      <c r="I106" s="1" t="s">
        <v>58</v>
      </c>
      <c r="J106" s="27">
        <v>45759</v>
      </c>
      <c r="K106" s="1"/>
      <c r="L106" s="27"/>
      <c r="M106" s="1"/>
      <c r="N106" s="1"/>
      <c r="O106" s="1">
        <f>Cotton_Buds[[#This Row],[Цена за 1 бр. в BGN]]*Cotton_Buds[[#This Row],[Поръчано Количество]]</f>
        <v>0</v>
      </c>
      <c r="P106" s="1"/>
      <c r="Q106" s="1"/>
      <c r="R106" s="1" t="str" cm="1">
        <f t="array" ref="R106">_xlfn.SWITCH(S106,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06" s="1"/>
    </row>
    <row r="107" spans="1:19" ht="29.25">
      <c r="A107" s="1" t="s">
        <v>738</v>
      </c>
      <c r="B107" s="1">
        <v>50</v>
      </c>
      <c r="C107" s="1">
        <f>Cotton_Buds[[#This Row],[Желано количество]]</f>
        <v>50</v>
      </c>
      <c r="D107" s="27">
        <v>45772</v>
      </c>
      <c r="E107" s="1" t="s">
        <v>619</v>
      </c>
      <c r="F107" s="33">
        <v>45757.428055555552</v>
      </c>
      <c r="G107" s="1" t="s">
        <v>22</v>
      </c>
      <c r="H107" s="39" t="s">
        <v>218</v>
      </c>
      <c r="I107" s="1" t="s">
        <v>58</v>
      </c>
      <c r="J107" s="27">
        <v>45759</v>
      </c>
      <c r="K107" s="1"/>
      <c r="L107" s="27"/>
      <c r="M107" s="1"/>
      <c r="N107" s="1"/>
      <c r="O107" s="1">
        <f>Cotton_Buds[[#This Row],[Цена за 1 бр. в BGN]]*Cotton_Buds[[#This Row],[Поръчано Количество]]</f>
        <v>0</v>
      </c>
      <c r="P107" s="1"/>
      <c r="Q107" s="1"/>
      <c r="R107" s="1" t="str" cm="1">
        <f t="array" ref="R107">_xlfn.SWITCH(S107,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07" s="1"/>
    </row>
    <row r="108" spans="1:19" ht="30">
      <c r="A108" s="1" t="s">
        <v>739</v>
      </c>
      <c r="B108" s="1">
        <v>50</v>
      </c>
      <c r="C108" s="1">
        <f>Cotton_Buds[[#This Row],[Желано количество]]</f>
        <v>50</v>
      </c>
      <c r="D108" s="27">
        <v>45772</v>
      </c>
      <c r="E108" s="1" t="s">
        <v>619</v>
      </c>
      <c r="F108" s="33">
        <v>45757.428206018521</v>
      </c>
      <c r="G108" s="1" t="s">
        <v>22</v>
      </c>
      <c r="H108" s="39" t="s">
        <v>218</v>
      </c>
      <c r="I108" s="1" t="s">
        <v>58</v>
      </c>
      <c r="J108" s="27">
        <v>45759</v>
      </c>
      <c r="K108" s="1"/>
      <c r="L108" s="27"/>
      <c r="M108" s="1"/>
      <c r="N108" s="1"/>
      <c r="O108" s="1">
        <f>Cotton_Buds[[#This Row],[Цена за 1 бр. в BGN]]*Cotton_Buds[[#This Row],[Поръчано Количество]]</f>
        <v>0</v>
      </c>
      <c r="P108" s="1"/>
      <c r="Q108" s="1"/>
      <c r="R108" s="1" t="str" cm="1">
        <f t="array" ref="R108">_xlfn.SWITCH(S108,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08" s="1"/>
    </row>
    <row r="109" spans="1:19" ht="30">
      <c r="A109" s="1" t="s">
        <v>740</v>
      </c>
      <c r="B109" s="1">
        <v>50</v>
      </c>
      <c r="C109" s="1">
        <f>Cotton_Buds[[#This Row],[Желано количество]]</f>
        <v>50</v>
      </c>
      <c r="D109" s="27">
        <v>45772</v>
      </c>
      <c r="E109" s="1" t="s">
        <v>619</v>
      </c>
      <c r="F109" s="33">
        <v>45757.428425925929</v>
      </c>
      <c r="G109" s="1" t="s">
        <v>22</v>
      </c>
      <c r="H109" s="39" t="s">
        <v>218</v>
      </c>
      <c r="I109" s="1" t="s">
        <v>58</v>
      </c>
      <c r="J109" s="27">
        <v>45759</v>
      </c>
      <c r="K109" s="1"/>
      <c r="L109" s="27"/>
      <c r="M109" s="1"/>
      <c r="N109" s="1"/>
      <c r="O109" s="1">
        <f>Cotton_Buds[[#This Row],[Цена за 1 бр. в BGN]]*Cotton_Buds[[#This Row],[Поръчано Количество]]</f>
        <v>0</v>
      </c>
      <c r="P109" s="1"/>
      <c r="Q109" s="1"/>
      <c r="R109" s="1" t="str" cm="1">
        <f t="array" ref="R109">_xlfn.SWITCH(S109,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09" s="1"/>
    </row>
    <row r="110" spans="1:19" ht="30">
      <c r="A110" s="1" t="s">
        <v>741</v>
      </c>
      <c r="B110" s="1">
        <v>50</v>
      </c>
      <c r="C110" s="1">
        <f>Cotton_Buds[[#This Row],[Желано количество]]</f>
        <v>50</v>
      </c>
      <c r="D110" s="27">
        <v>45772</v>
      </c>
      <c r="E110" s="1" t="s">
        <v>619</v>
      </c>
      <c r="F110" s="33">
        <v>45757.428622685184</v>
      </c>
      <c r="G110" s="1" t="s">
        <v>22</v>
      </c>
      <c r="H110" s="39" t="s">
        <v>218</v>
      </c>
      <c r="I110" s="1" t="s">
        <v>58</v>
      </c>
      <c r="J110" s="27">
        <v>45759</v>
      </c>
      <c r="K110" s="1"/>
      <c r="L110" s="27"/>
      <c r="M110" s="1"/>
      <c r="N110" s="1"/>
      <c r="O110" s="1">
        <f>Cotton_Buds[[#This Row],[Цена за 1 бр. в BGN]]*Cotton_Buds[[#This Row],[Поръчано Количество]]</f>
        <v>0</v>
      </c>
      <c r="P110" s="1"/>
      <c r="Q110" s="1"/>
      <c r="R110" s="1" t="str" cm="1">
        <f t="array" ref="R110">_xlfn.SWITCH(S110,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10" s="1"/>
    </row>
    <row r="111" spans="1:19" ht="29.25">
      <c r="A111" s="1" t="s">
        <v>742</v>
      </c>
      <c r="B111" s="1">
        <v>50</v>
      </c>
      <c r="C111" s="1">
        <f>Cotton_Buds[[#This Row],[Желано количество]]</f>
        <v>50</v>
      </c>
      <c r="D111" s="27">
        <v>45772</v>
      </c>
      <c r="E111" s="1" t="s">
        <v>619</v>
      </c>
      <c r="F111" s="33">
        <v>45757.429120370369</v>
      </c>
      <c r="G111" s="1" t="s">
        <v>22</v>
      </c>
      <c r="H111" s="39" t="s">
        <v>218</v>
      </c>
      <c r="I111" s="1" t="s">
        <v>58</v>
      </c>
      <c r="J111" s="27">
        <v>45759</v>
      </c>
      <c r="K111" s="1"/>
      <c r="L111" s="27"/>
      <c r="M111" s="1"/>
      <c r="N111" s="1"/>
      <c r="O111" s="1">
        <f>Cotton_Buds[[#This Row],[Цена за 1 бр. в BGN]]*Cotton_Buds[[#This Row],[Поръчано Количество]]</f>
        <v>0</v>
      </c>
      <c r="P111" s="1"/>
      <c r="Q111" s="1"/>
      <c r="R111" s="1" t="str" cm="1">
        <f t="array" ref="R111">_xlfn.SWITCH(S111,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11" s="1"/>
    </row>
    <row r="112" spans="1:19" ht="29.25">
      <c r="A112" s="1" t="s">
        <v>743</v>
      </c>
      <c r="B112" s="1">
        <v>50</v>
      </c>
      <c r="C112" s="1">
        <f>Cotton_Buds[[#This Row],[Желано количество]]</f>
        <v>50</v>
      </c>
      <c r="D112" s="27">
        <v>45772</v>
      </c>
      <c r="E112" s="1" t="s">
        <v>619</v>
      </c>
      <c r="F112" s="33">
        <v>45757.42931712963</v>
      </c>
      <c r="G112" s="1" t="s">
        <v>22</v>
      </c>
      <c r="H112" s="39" t="s">
        <v>218</v>
      </c>
      <c r="I112" s="1" t="s">
        <v>58</v>
      </c>
      <c r="J112" s="27">
        <v>45759</v>
      </c>
      <c r="K112" s="1"/>
      <c r="L112" s="27"/>
      <c r="M112" s="1"/>
      <c r="N112" s="1"/>
      <c r="O112" s="1">
        <f>Cotton_Buds[[#This Row],[Цена за 1 бр. в BGN]]*Cotton_Buds[[#This Row],[Поръчано Количество]]</f>
        <v>0</v>
      </c>
      <c r="P112" s="1"/>
      <c r="Q112" s="1"/>
      <c r="R112" s="1" t="str" cm="1">
        <f t="array" ref="R112">_xlfn.SWITCH(S112,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12" s="1"/>
    </row>
    <row r="113" spans="1:19" ht="29.25">
      <c r="A113" s="1" t="s">
        <v>744</v>
      </c>
      <c r="B113" s="1">
        <v>50</v>
      </c>
      <c r="C113" s="1">
        <f>Cotton_Buds[[#This Row],[Желано количество]]</f>
        <v>50</v>
      </c>
      <c r="D113" s="27">
        <v>45772</v>
      </c>
      <c r="E113" s="1" t="s">
        <v>619</v>
      </c>
      <c r="F113" s="33">
        <v>45757.429571759261</v>
      </c>
      <c r="G113" s="1" t="s">
        <v>22</v>
      </c>
      <c r="H113" s="39" t="s">
        <v>218</v>
      </c>
      <c r="I113" s="1" t="s">
        <v>58</v>
      </c>
      <c r="J113" s="27">
        <v>45759</v>
      </c>
      <c r="K113" s="1"/>
      <c r="L113" s="27"/>
      <c r="M113" s="1"/>
      <c r="N113" s="1"/>
      <c r="O113" s="1">
        <f>Cotton_Buds[[#This Row],[Цена за 1 бр. в BGN]]*Cotton_Buds[[#This Row],[Поръчано Количество]]</f>
        <v>0</v>
      </c>
      <c r="P113" s="1"/>
      <c r="Q113" s="1"/>
      <c r="R113" s="1" t="str" cm="1">
        <f t="array" ref="R113">_xlfn.SWITCH(S113,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13" s="1"/>
    </row>
    <row r="114" spans="1:19" ht="30">
      <c r="A114" s="1" t="s">
        <v>745</v>
      </c>
      <c r="B114" s="1">
        <v>50</v>
      </c>
      <c r="C114" s="1">
        <f>Cotton_Buds[[#This Row],[Желано количество]]</f>
        <v>50</v>
      </c>
      <c r="D114" s="27">
        <v>45772</v>
      </c>
      <c r="E114" s="1" t="s">
        <v>619</v>
      </c>
      <c r="F114" s="33">
        <v>45757.429861111108</v>
      </c>
      <c r="G114" s="1" t="s">
        <v>22</v>
      </c>
      <c r="H114" s="39" t="s">
        <v>218</v>
      </c>
      <c r="I114" s="1" t="s">
        <v>58</v>
      </c>
      <c r="J114" s="27">
        <v>45759</v>
      </c>
      <c r="K114" s="1"/>
      <c r="L114" s="27"/>
      <c r="M114" s="1"/>
      <c r="N114" s="1"/>
      <c r="O114" s="1">
        <f>Cotton_Buds[[#This Row],[Цена за 1 бр. в BGN]]*Cotton_Buds[[#This Row],[Поръчано Количество]]</f>
        <v>0</v>
      </c>
      <c r="P114" s="1"/>
      <c r="Q114" s="1"/>
      <c r="R114" s="1" t="str" cm="1">
        <f t="array" ref="R114">_xlfn.SWITCH(S114,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14" s="1"/>
    </row>
    <row r="115" spans="1:19" ht="30">
      <c r="A115" s="1" t="s">
        <v>746</v>
      </c>
      <c r="B115" s="1">
        <v>50</v>
      </c>
      <c r="C115" s="1">
        <f>Cotton_Buds[[#This Row],[Желано количество]]</f>
        <v>50</v>
      </c>
      <c r="D115" s="27">
        <v>45772</v>
      </c>
      <c r="E115" s="1" t="s">
        <v>619</v>
      </c>
      <c r="F115" s="33">
        <v>45757.430196759262</v>
      </c>
      <c r="G115" s="1" t="s">
        <v>22</v>
      </c>
      <c r="H115" s="39" t="s">
        <v>218</v>
      </c>
      <c r="I115" s="1" t="s">
        <v>58</v>
      </c>
      <c r="J115" s="27">
        <v>45759</v>
      </c>
      <c r="K115" s="1"/>
      <c r="L115" s="27"/>
      <c r="M115" s="1"/>
      <c r="N115" s="1"/>
      <c r="O115" s="1">
        <f>Cotton_Buds[[#This Row],[Цена за 1 бр. в BGN]]*Cotton_Buds[[#This Row],[Поръчано Количество]]</f>
        <v>0</v>
      </c>
      <c r="P115" s="1"/>
      <c r="Q115" s="1"/>
      <c r="R115" s="1" t="str" cm="1">
        <f t="array" ref="R115">_xlfn.SWITCH(S115,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15" s="1"/>
    </row>
    <row r="116" spans="1:19" ht="30">
      <c r="A116" s="1" t="s">
        <v>747</v>
      </c>
      <c r="B116" s="1">
        <v>50</v>
      </c>
      <c r="C116" s="1">
        <f>Cotton_Buds[[#This Row],[Желано количество]]</f>
        <v>50</v>
      </c>
      <c r="D116" s="27">
        <v>45772</v>
      </c>
      <c r="E116" s="1" t="s">
        <v>619</v>
      </c>
      <c r="F116" s="33">
        <v>45757.430405092593</v>
      </c>
      <c r="G116" s="1" t="s">
        <v>22</v>
      </c>
      <c r="H116" s="39" t="s">
        <v>218</v>
      </c>
      <c r="I116" s="1" t="s">
        <v>58</v>
      </c>
      <c r="J116" s="27">
        <v>45759</v>
      </c>
      <c r="K116" s="1"/>
      <c r="L116" s="27"/>
      <c r="M116" s="1"/>
      <c r="N116" s="1"/>
      <c r="O116" s="1">
        <f>Cotton_Buds[[#This Row],[Цена за 1 бр. в BGN]]*Cotton_Buds[[#This Row],[Поръчано Количество]]</f>
        <v>0</v>
      </c>
      <c r="P116" s="1"/>
      <c r="Q116" s="1"/>
      <c r="R116" s="1" t="str" cm="1">
        <f t="array" ref="R116">_xlfn.SWITCH(S116,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16" s="1"/>
    </row>
    <row r="117" spans="1:19" ht="30">
      <c r="A117" s="1" t="s">
        <v>748</v>
      </c>
      <c r="B117" s="1">
        <v>50</v>
      </c>
      <c r="C117" s="1">
        <f>Cotton_Buds[[#This Row],[Желано количество]]</f>
        <v>50</v>
      </c>
      <c r="D117" s="27">
        <v>45772</v>
      </c>
      <c r="E117" s="1" t="s">
        <v>619</v>
      </c>
      <c r="F117" s="33">
        <v>45757.432395833333</v>
      </c>
      <c r="G117" s="1" t="s">
        <v>22</v>
      </c>
      <c r="H117" s="39" t="s">
        <v>218</v>
      </c>
      <c r="I117" s="1" t="s">
        <v>58</v>
      </c>
      <c r="J117" s="27">
        <v>45759</v>
      </c>
      <c r="K117" s="1"/>
      <c r="L117" s="27"/>
      <c r="M117" s="1"/>
      <c r="N117" s="1"/>
      <c r="O117" s="1">
        <f>Cotton_Buds[[#This Row],[Цена за 1 бр. в BGN]]*Cotton_Buds[[#This Row],[Поръчано Количество]]</f>
        <v>0</v>
      </c>
      <c r="P117" s="1"/>
      <c r="Q117" s="1"/>
      <c r="R117" s="1" t="str" cm="1">
        <f t="array" ref="R117">_xlfn.SWITCH(S117,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17" s="1"/>
    </row>
    <row r="118" spans="1:19" ht="30">
      <c r="A118" s="1" t="s">
        <v>749</v>
      </c>
      <c r="B118" s="1">
        <v>50</v>
      </c>
      <c r="C118" s="1">
        <f>Cotton_Buds[[#This Row],[Желано количество]]</f>
        <v>50</v>
      </c>
      <c r="D118" s="27">
        <v>45772</v>
      </c>
      <c r="E118" s="1" t="s">
        <v>619</v>
      </c>
      <c r="F118" s="33">
        <v>45757.432581018518</v>
      </c>
      <c r="G118" s="1" t="s">
        <v>22</v>
      </c>
      <c r="H118" s="39" t="s">
        <v>218</v>
      </c>
      <c r="I118" s="1" t="s">
        <v>58</v>
      </c>
      <c r="J118" s="27">
        <v>45759</v>
      </c>
      <c r="K118" s="1"/>
      <c r="L118" s="27"/>
      <c r="M118" s="1"/>
      <c r="N118" s="1"/>
      <c r="O118" s="1">
        <f>Cotton_Buds[[#This Row],[Цена за 1 бр. в BGN]]*Cotton_Buds[[#This Row],[Поръчано Количество]]</f>
        <v>0</v>
      </c>
      <c r="P118" s="1"/>
      <c r="Q118" s="1"/>
      <c r="R118" s="1" t="str" cm="1">
        <f t="array" ref="R118">_xlfn.SWITCH(S118,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18" s="1"/>
    </row>
    <row r="119" spans="1:19" ht="30">
      <c r="A119" s="1" t="s">
        <v>750</v>
      </c>
      <c r="B119" s="1">
        <v>50</v>
      </c>
      <c r="C119" s="1">
        <f>Cotton_Buds[[#This Row],[Желано количество]]</f>
        <v>50</v>
      </c>
      <c r="D119" s="27">
        <v>45772</v>
      </c>
      <c r="E119" s="1" t="s">
        <v>619</v>
      </c>
      <c r="F119" s="33">
        <v>45757.432743055557</v>
      </c>
      <c r="G119" s="1" t="s">
        <v>22</v>
      </c>
      <c r="H119" s="39" t="s">
        <v>218</v>
      </c>
      <c r="I119" s="1" t="s">
        <v>58</v>
      </c>
      <c r="J119" s="27">
        <v>45759</v>
      </c>
      <c r="K119" s="1"/>
      <c r="L119" s="27"/>
      <c r="M119" s="1"/>
      <c r="N119" s="1"/>
      <c r="O119" s="1">
        <f>Cotton_Buds[[#This Row],[Цена за 1 бр. в BGN]]*Cotton_Buds[[#This Row],[Поръчано Количество]]</f>
        <v>0</v>
      </c>
      <c r="P119" s="1"/>
      <c r="Q119" s="1"/>
      <c r="R119" s="1" t="str" cm="1">
        <f t="array" ref="R119">_xlfn.SWITCH(S119,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19" s="1"/>
    </row>
    <row r="120" spans="1:19" ht="30">
      <c r="A120" s="1" t="s">
        <v>751</v>
      </c>
      <c r="B120" s="1">
        <v>50</v>
      </c>
      <c r="C120" s="1">
        <f>Cotton_Buds[[#This Row],[Желано количество]]</f>
        <v>50</v>
      </c>
      <c r="D120" s="27">
        <v>45772</v>
      </c>
      <c r="E120" s="1" t="s">
        <v>619</v>
      </c>
      <c r="F120" s="33">
        <v>45757.432986111111</v>
      </c>
      <c r="G120" s="1" t="s">
        <v>22</v>
      </c>
      <c r="H120" s="39" t="s">
        <v>218</v>
      </c>
      <c r="I120" s="1" t="s">
        <v>58</v>
      </c>
      <c r="J120" s="27">
        <v>45759</v>
      </c>
      <c r="K120" s="1"/>
      <c r="L120" s="27"/>
      <c r="M120" s="1"/>
      <c r="N120" s="1"/>
      <c r="O120" s="1">
        <f>Cotton_Buds[[#This Row],[Цена за 1 бр. в BGN]]*Cotton_Buds[[#This Row],[Поръчано Количество]]</f>
        <v>0</v>
      </c>
      <c r="P120" s="1"/>
      <c r="Q120" s="1"/>
      <c r="R120" s="1" t="str" cm="1">
        <f t="array" ref="R120">_xlfn.SWITCH(S120,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20" s="1"/>
    </row>
    <row r="121" spans="1:19" ht="30">
      <c r="A121" s="1" t="s">
        <v>752</v>
      </c>
      <c r="B121" s="1">
        <v>50</v>
      </c>
      <c r="C121" s="1">
        <f>Cotton_Buds[[#This Row],[Желано количество]]</f>
        <v>50</v>
      </c>
      <c r="D121" s="27">
        <v>45772</v>
      </c>
      <c r="E121" s="1" t="s">
        <v>619</v>
      </c>
      <c r="F121" s="33">
        <v>45757.433194444442</v>
      </c>
      <c r="G121" s="1" t="s">
        <v>22</v>
      </c>
      <c r="H121" s="39" t="s">
        <v>218</v>
      </c>
      <c r="I121" s="1" t="s">
        <v>58</v>
      </c>
      <c r="J121" s="27">
        <v>45759</v>
      </c>
      <c r="K121" s="1"/>
      <c r="L121" s="27"/>
      <c r="M121" s="1"/>
      <c r="N121" s="1"/>
      <c r="O121" s="1">
        <f>Cotton_Buds[[#This Row],[Цена за 1 бр. в BGN]]*Cotton_Buds[[#This Row],[Поръчано Количество]]</f>
        <v>0</v>
      </c>
      <c r="P121" s="1"/>
      <c r="Q121" s="1"/>
      <c r="R121" s="1" t="str" cm="1">
        <f t="array" ref="R121">_xlfn.SWITCH(S121,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21" s="1"/>
    </row>
    <row r="122" spans="1:19" ht="30">
      <c r="A122" s="1" t="s">
        <v>753</v>
      </c>
      <c r="B122" s="1">
        <v>50</v>
      </c>
      <c r="C122" s="1">
        <f>Cotton_Buds[[#This Row],[Желано количество]]</f>
        <v>50</v>
      </c>
      <c r="D122" s="27">
        <v>45772</v>
      </c>
      <c r="E122" s="1" t="s">
        <v>619</v>
      </c>
      <c r="F122" s="33">
        <v>45757.433483796296</v>
      </c>
      <c r="G122" s="1" t="s">
        <v>22</v>
      </c>
      <c r="H122" s="39" t="s">
        <v>218</v>
      </c>
      <c r="I122" s="1" t="s">
        <v>58</v>
      </c>
      <c r="J122" s="27">
        <v>45759</v>
      </c>
      <c r="K122" s="1"/>
      <c r="L122" s="27"/>
      <c r="M122" s="1"/>
      <c r="N122" s="1"/>
      <c r="O122" s="1">
        <f>Cotton_Buds[[#This Row],[Цена за 1 бр. в BGN]]*Cotton_Buds[[#This Row],[Поръчано Количество]]</f>
        <v>0</v>
      </c>
      <c r="P122" s="1"/>
      <c r="Q122" s="1"/>
      <c r="R122" s="1" t="str" cm="1">
        <f t="array" ref="R122">_xlfn.SWITCH(S122,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22" s="1"/>
    </row>
    <row r="123" spans="1:19" ht="30">
      <c r="A123" s="1" t="s">
        <v>754</v>
      </c>
      <c r="B123" s="1">
        <v>50</v>
      </c>
      <c r="C123" s="1">
        <f>Cotton_Buds[[#This Row],[Желано количество]]</f>
        <v>50</v>
      </c>
      <c r="D123" s="27">
        <v>45772</v>
      </c>
      <c r="E123" s="1" t="s">
        <v>619</v>
      </c>
      <c r="F123" s="33">
        <v>45757.433749999997</v>
      </c>
      <c r="G123" s="1" t="s">
        <v>22</v>
      </c>
      <c r="H123" s="39" t="s">
        <v>218</v>
      </c>
      <c r="I123" s="1" t="s">
        <v>58</v>
      </c>
      <c r="J123" s="27">
        <v>45759</v>
      </c>
      <c r="K123" s="1"/>
      <c r="L123" s="27"/>
      <c r="M123" s="1"/>
      <c r="N123" s="1"/>
      <c r="O123" s="1">
        <f>Cotton_Buds[[#This Row],[Цена за 1 бр. в BGN]]*Cotton_Buds[[#This Row],[Поръчано Количество]]</f>
        <v>0</v>
      </c>
      <c r="P123" s="1"/>
      <c r="Q123" s="1"/>
      <c r="R123" s="1" t="str" cm="1">
        <f t="array" ref="R123">_xlfn.SWITCH(S123,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23" s="1"/>
    </row>
    <row r="124" spans="1:19" ht="30">
      <c r="A124" s="1" t="s">
        <v>755</v>
      </c>
      <c r="B124" s="1">
        <v>50</v>
      </c>
      <c r="C124" s="1">
        <f>Cotton_Buds[[#This Row],[Желано количество]]</f>
        <v>50</v>
      </c>
      <c r="D124" s="27">
        <v>45772</v>
      </c>
      <c r="E124" s="1" t="s">
        <v>619</v>
      </c>
      <c r="F124" s="33">
        <v>45757.433912037035</v>
      </c>
      <c r="G124" s="1" t="s">
        <v>22</v>
      </c>
      <c r="H124" s="39" t="s">
        <v>218</v>
      </c>
      <c r="I124" s="1" t="s">
        <v>58</v>
      </c>
      <c r="J124" s="27">
        <v>45759</v>
      </c>
      <c r="K124" s="1"/>
      <c r="L124" s="27"/>
      <c r="M124" s="1"/>
      <c r="N124" s="1"/>
      <c r="O124" s="1">
        <f>Cotton_Buds[[#This Row],[Цена за 1 бр. в BGN]]*Cotton_Buds[[#This Row],[Поръчано Количество]]</f>
        <v>0</v>
      </c>
      <c r="P124" s="1"/>
      <c r="Q124" s="1"/>
      <c r="R124" s="1" t="str" cm="1">
        <f t="array" ref="R124">_xlfn.SWITCH(S124,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24" s="1"/>
    </row>
    <row r="125" spans="1:19" ht="30">
      <c r="A125" s="1" t="s">
        <v>756</v>
      </c>
      <c r="B125" s="1">
        <v>4</v>
      </c>
      <c r="C125" s="1">
        <v>4</v>
      </c>
      <c r="D125" s="27">
        <v>45763</v>
      </c>
      <c r="E125" s="1" t="s">
        <v>595</v>
      </c>
      <c r="F125" s="33">
        <v>45758.211342592593</v>
      </c>
      <c r="G125" s="1" t="s">
        <v>22</v>
      </c>
      <c r="H125" t="s">
        <v>100</v>
      </c>
      <c r="I125" s="1" t="s">
        <v>101</v>
      </c>
      <c r="J125" s="27"/>
      <c r="K125" s="1"/>
      <c r="L125" s="27">
        <v>45791</v>
      </c>
      <c r="M125" s="1">
        <v>4</v>
      </c>
      <c r="N125" s="1">
        <v>10.7</v>
      </c>
      <c r="O125" s="1">
        <f>Cotton_Buds[[#This Row],[Цена за 1 бр. в BGN]]*Cotton_Buds[[#This Row],[Поръчано Количество]]</f>
        <v>42.8</v>
      </c>
      <c r="P125" s="1"/>
      <c r="Q125" s="1"/>
      <c r="R125" s="1" t="str" cm="1">
        <f t="array" ref="R125">_xlfn.SWITCH(S125,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25" s="1"/>
    </row>
    <row r="126" spans="1:19" ht="30">
      <c r="A126" s="1" t="s">
        <v>757</v>
      </c>
      <c r="B126" s="1">
        <v>2</v>
      </c>
      <c r="C126" s="1"/>
      <c r="D126" s="27">
        <v>45723</v>
      </c>
      <c r="E126" s="1" t="s">
        <v>595</v>
      </c>
      <c r="F126" s="33">
        <v>45715.224432870367</v>
      </c>
      <c r="G126" s="1" t="s">
        <v>30</v>
      </c>
      <c r="H126" s="1"/>
      <c r="I126" s="1"/>
      <c r="J126" s="27"/>
      <c r="K126" s="1"/>
      <c r="L126" s="27"/>
      <c r="M126" s="1"/>
      <c r="N126" s="1"/>
      <c r="O126" s="1">
        <f>Cotton_Buds[[#This Row],[Цена за 1 бр. в BGN]]*Cotton_Buds[[#This Row],[Поръчано Количество]]</f>
        <v>0</v>
      </c>
      <c r="P126" s="1"/>
      <c r="Q126" s="1"/>
      <c r="R126" s="1" t="str" cm="1">
        <f t="array" ref="R126">_xlfn.SWITCH(S126,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26" s="1"/>
    </row>
    <row r="127" spans="1:19">
      <c r="A127" s="1" t="s">
        <v>758</v>
      </c>
      <c r="B127" s="1">
        <v>30</v>
      </c>
      <c r="C127" s="1"/>
      <c r="D127" s="27">
        <v>45772</v>
      </c>
      <c r="E127" s="1" t="s">
        <v>619</v>
      </c>
      <c r="F127" s="33">
        <v>45758.212592592594</v>
      </c>
      <c r="G127" s="1" t="s">
        <v>22</v>
      </c>
      <c r="H127" s="39"/>
      <c r="I127" s="1"/>
      <c r="J127" s="27"/>
      <c r="K127" s="1"/>
      <c r="L127" s="27"/>
      <c r="M127" s="1"/>
      <c r="N127" s="1"/>
      <c r="O127" s="1">
        <f>Cotton_Buds[[#This Row],[Цена за 1 бр. в BGN]]*Cotton_Buds[[#This Row],[Поръчано Количество]]</f>
        <v>0</v>
      </c>
      <c r="P127" s="1"/>
      <c r="Q127" s="1"/>
      <c r="R127" s="1" t="str" cm="1">
        <f t="array" ref="R127">_xlfn.SWITCH(S127,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27" s="1"/>
    </row>
    <row r="128" spans="1:19">
      <c r="A128" s="1" t="s">
        <v>759</v>
      </c>
      <c r="B128" s="1">
        <v>20</v>
      </c>
      <c r="C128" s="1"/>
      <c r="D128" s="27">
        <v>45772</v>
      </c>
      <c r="E128" s="1" t="s">
        <v>619</v>
      </c>
      <c r="F128" s="33">
        <v>45758.212962962964</v>
      </c>
      <c r="G128" s="1" t="s">
        <v>22</v>
      </c>
      <c r="H128" s="39"/>
      <c r="I128" s="1"/>
      <c r="J128" s="27"/>
      <c r="K128" s="1"/>
      <c r="L128" s="27"/>
      <c r="M128" s="1"/>
      <c r="N128" s="1"/>
      <c r="O128" s="1">
        <f>Cotton_Buds[[#This Row],[Цена за 1 бр. в BGN]]*Cotton_Buds[[#This Row],[Поръчано Количество]]</f>
        <v>0</v>
      </c>
      <c r="P128" s="1"/>
      <c r="Q128" s="1"/>
      <c r="R128" s="1" t="str" cm="1">
        <f t="array" ref="R128">_xlfn.SWITCH(S128,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28" s="1"/>
    </row>
    <row r="129" spans="1:19" ht="30">
      <c r="A129" s="1" t="s">
        <v>760</v>
      </c>
      <c r="B129" s="1">
        <v>40</v>
      </c>
      <c r="C129" s="1"/>
      <c r="D129" s="27">
        <v>45722</v>
      </c>
      <c r="E129" s="1" t="s">
        <v>602</v>
      </c>
      <c r="F129" s="33">
        <v>45715.402002314811</v>
      </c>
      <c r="G129" s="1" t="s">
        <v>42</v>
      </c>
      <c r="H129" s="1" t="s">
        <v>727</v>
      </c>
      <c r="I129" s="1" t="s">
        <v>607</v>
      </c>
      <c r="J129" s="27"/>
      <c r="K129" s="1"/>
      <c r="L129" s="27"/>
      <c r="M129" s="1"/>
      <c r="N129" s="1"/>
      <c r="O129" s="1">
        <f>Cotton_Buds[[#This Row],[Цена за 1 бр. в BGN]]*Cotton_Buds[[#This Row],[Поръчано Количество]]</f>
        <v>0</v>
      </c>
      <c r="P129" s="1"/>
      <c r="Q129" s="1"/>
      <c r="R129" s="1" t="str" cm="1">
        <f t="array" ref="R129">_xlfn.SWITCH(S129,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29" s="1"/>
    </row>
    <row r="130" spans="1:19">
      <c r="A130" s="1" t="s">
        <v>761</v>
      </c>
      <c r="B130" s="1">
        <v>2</v>
      </c>
      <c r="C130" s="1"/>
      <c r="D130" s="27">
        <v>45762</v>
      </c>
      <c r="E130" s="1" t="s">
        <v>610</v>
      </c>
      <c r="F130" s="33">
        <v>45762.28396990741</v>
      </c>
      <c r="G130" s="1" t="s">
        <v>22</v>
      </c>
      <c r="H130" s="39"/>
      <c r="I130" s="1"/>
      <c r="J130" s="27"/>
      <c r="K130" s="1"/>
      <c r="L130" s="27"/>
      <c r="M130" s="1"/>
      <c r="N130" s="1"/>
      <c r="O130" s="1">
        <f>Cotton_Buds[[#This Row],[Цена за 1 бр. в BGN]]*Cotton_Buds[[#This Row],[Поръчано Количество]]</f>
        <v>0</v>
      </c>
      <c r="P130" s="1"/>
      <c r="Q130" s="1"/>
      <c r="R130" s="1" t="str" cm="1">
        <f t="array" ref="R130">_xlfn.SWITCH(S130,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30" s="1"/>
    </row>
    <row r="131" spans="1:19">
      <c r="A131" s="1" t="s">
        <v>762</v>
      </c>
      <c r="B131" s="1">
        <v>2</v>
      </c>
      <c r="C131" s="1"/>
      <c r="D131" s="27">
        <v>45762</v>
      </c>
      <c r="E131" s="1" t="s">
        <v>610</v>
      </c>
      <c r="F131" s="33">
        <v>45762.285370370373</v>
      </c>
      <c r="G131" s="1" t="s">
        <v>22</v>
      </c>
      <c r="H131" s="39"/>
      <c r="I131" s="1" t="s">
        <v>46</v>
      </c>
      <c r="J131" s="27"/>
      <c r="K131" s="1"/>
      <c r="L131" s="27"/>
      <c r="M131" s="1"/>
      <c r="N131" s="1"/>
      <c r="O131" s="1">
        <f>Cotton_Buds[[#This Row],[Цена за 1 бр. в BGN]]*Cotton_Buds[[#This Row],[Поръчано Количество]]</f>
        <v>0</v>
      </c>
      <c r="P131" s="1"/>
      <c r="Q131" s="1"/>
      <c r="R131" s="1" t="str" cm="1">
        <f t="array" ref="R131">_xlfn.SWITCH(S131,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31" s="1"/>
    </row>
    <row r="132" spans="1:19">
      <c r="A132" s="1" t="s">
        <v>763</v>
      </c>
      <c r="B132" s="1">
        <v>2</v>
      </c>
      <c r="C132" s="1"/>
      <c r="D132" s="27">
        <v>45762</v>
      </c>
      <c r="E132" s="1" t="s">
        <v>610</v>
      </c>
      <c r="F132" s="33">
        <v>45762.286423611113</v>
      </c>
      <c r="G132" s="1" t="s">
        <v>22</v>
      </c>
      <c r="H132" s="39"/>
      <c r="I132" s="1"/>
      <c r="J132" s="27"/>
      <c r="K132" s="1"/>
      <c r="L132" s="27"/>
      <c r="M132" s="1"/>
      <c r="N132" s="1"/>
      <c r="O132" s="1">
        <f>Cotton_Buds[[#This Row],[Цена за 1 бр. в BGN]]*Cotton_Buds[[#This Row],[Поръчано Количество]]</f>
        <v>0</v>
      </c>
      <c r="P132" s="1"/>
      <c r="Q132" s="1"/>
      <c r="R132" s="1" t="str" cm="1">
        <f t="array" ref="R132">_xlfn.SWITCH(S132,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32" s="1"/>
    </row>
    <row r="133" spans="1:19" ht="30">
      <c r="A133" s="1" t="s">
        <v>764</v>
      </c>
      <c r="B133" s="1"/>
      <c r="C133" s="1"/>
      <c r="D133" s="27">
        <v>45720</v>
      </c>
      <c r="E133" s="1" t="s">
        <v>602</v>
      </c>
      <c r="F133" s="33">
        <v>45715.527418981481</v>
      </c>
      <c r="G133" s="1" t="s">
        <v>42</v>
      </c>
      <c r="H133" s="1" t="s">
        <v>727</v>
      </c>
      <c r="I133" s="1" t="s">
        <v>607</v>
      </c>
      <c r="J133" s="27"/>
      <c r="K133" s="1"/>
      <c r="L133" s="27"/>
      <c r="M133" s="1"/>
      <c r="N133" s="1"/>
      <c r="O133" s="1">
        <f>Cotton_Buds[[#This Row],[Цена за 1 бр. в BGN]]*Cotton_Buds[[#This Row],[Поръчано Количество]]</f>
        <v>0</v>
      </c>
      <c r="P133" s="1"/>
      <c r="Q133" s="1"/>
      <c r="R133" s="1" t="str" cm="1">
        <f t="array" ref="R133">_xlfn.SWITCH(S133,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33" s="1"/>
    </row>
    <row r="134" spans="1:19">
      <c r="A134" s="1" t="s">
        <v>765</v>
      </c>
      <c r="B134" s="1">
        <v>1</v>
      </c>
      <c r="C134" s="1"/>
      <c r="D134" s="27">
        <v>45730</v>
      </c>
      <c r="E134" s="1" t="s">
        <v>63</v>
      </c>
      <c r="F134" s="33">
        <v>45716.222708333335</v>
      </c>
      <c r="G134" s="1" t="s">
        <v>30</v>
      </c>
      <c r="H134" s="1"/>
      <c r="I134" s="1"/>
      <c r="J134" s="27"/>
      <c r="K134" s="1"/>
      <c r="L134" s="27"/>
      <c r="M134" s="1"/>
      <c r="N134" s="1"/>
      <c r="O134" s="1">
        <f>Cotton_Buds[[#This Row],[Цена за 1 бр. в BGN]]*Cotton_Buds[[#This Row],[Поръчано Количество]]</f>
        <v>0</v>
      </c>
      <c r="P134" s="1"/>
      <c r="Q134" s="1"/>
      <c r="R134" s="1" t="str" cm="1">
        <f t="array" ref="R134">_xlfn.SWITCH(S134,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34" s="1"/>
    </row>
    <row r="135" spans="1:19">
      <c r="A135" s="1" t="s">
        <v>766</v>
      </c>
      <c r="B135" s="1">
        <v>3</v>
      </c>
      <c r="C135" s="1"/>
      <c r="D135" s="27">
        <v>45723</v>
      </c>
      <c r="E135" s="1" t="s">
        <v>63</v>
      </c>
      <c r="F135" s="33">
        <v>45716.224178240744</v>
      </c>
      <c r="G135" s="1" t="s">
        <v>30</v>
      </c>
      <c r="H135" s="1"/>
      <c r="I135" s="1"/>
      <c r="J135" s="27"/>
      <c r="K135" s="1"/>
      <c r="L135" s="27"/>
      <c r="M135" s="1"/>
      <c r="N135" s="1"/>
      <c r="O135" s="1">
        <f>Cotton_Buds[[#This Row],[Цена за 1 бр. в BGN]]*Cotton_Buds[[#This Row],[Поръчано Количество]]</f>
        <v>0</v>
      </c>
      <c r="P135" s="1"/>
      <c r="Q135" s="1"/>
      <c r="R135" s="1" t="str" cm="1">
        <f t="array" ref="R135">_xlfn.SWITCH(S135,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35" s="1"/>
    </row>
    <row r="136" spans="1:19" ht="30">
      <c r="A136" s="1" t="s">
        <v>767</v>
      </c>
      <c r="B136" s="1">
        <v>4</v>
      </c>
      <c r="C136" s="1">
        <v>4</v>
      </c>
      <c r="D136" s="27">
        <v>45770</v>
      </c>
      <c r="E136" s="1" t="s">
        <v>595</v>
      </c>
      <c r="F136" s="33">
        <v>45763.322175925925</v>
      </c>
      <c r="G136" s="1" t="s">
        <v>22</v>
      </c>
      <c r="H136" s="39"/>
      <c r="I136" s="1" t="s">
        <v>300</v>
      </c>
      <c r="J136" s="27"/>
      <c r="K136" s="1"/>
      <c r="L136" s="27"/>
      <c r="M136" s="1"/>
      <c r="N136" s="1"/>
      <c r="O136" s="1">
        <f>Cotton_Buds[[#This Row],[Цена за 1 бр. в BGN]]*Cotton_Buds[[#This Row],[Поръчано Количество]]</f>
        <v>0</v>
      </c>
      <c r="P136" s="1"/>
      <c r="Q136" s="1"/>
      <c r="R136" s="1" t="str" cm="1">
        <f t="array" ref="R136">_xlfn.SWITCH(S136,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36" s="1"/>
    </row>
    <row r="137" spans="1:19">
      <c r="A137" s="1" t="s">
        <v>768</v>
      </c>
      <c r="B137" s="1">
        <v>6</v>
      </c>
      <c r="C137" s="1"/>
      <c r="D137" s="27">
        <v>45723</v>
      </c>
      <c r="E137" s="1" t="s">
        <v>769</v>
      </c>
      <c r="F137" s="33">
        <v>45716.225486111114</v>
      </c>
      <c r="G137" s="1" t="s">
        <v>22</v>
      </c>
      <c r="H137" s="1"/>
      <c r="I137" s="1"/>
      <c r="J137" s="27"/>
      <c r="K137" s="1"/>
      <c r="L137" s="27"/>
      <c r="M137" s="1"/>
      <c r="N137" s="1"/>
      <c r="O137" s="1">
        <f>Cotton_Buds[[#This Row],[Цена за 1 бр. в BGN]]*Cotton_Buds[[#This Row],[Поръчано Количество]]</f>
        <v>0</v>
      </c>
      <c r="P137" s="1"/>
      <c r="Q137" s="1"/>
      <c r="R137" s="1" t="str" cm="1">
        <f t="array" ref="R137">_xlfn.SWITCH(S137,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37" s="1"/>
    </row>
    <row r="138" spans="1:19" ht="30">
      <c r="A138" s="18" t="s">
        <v>770</v>
      </c>
      <c r="B138" s="1">
        <v>3</v>
      </c>
      <c r="C138" s="1"/>
      <c r="D138" s="27">
        <v>45723</v>
      </c>
      <c r="E138" s="1" t="s">
        <v>595</v>
      </c>
      <c r="F138" s="33">
        <v>45716.226469907408</v>
      </c>
      <c r="G138" s="1" t="s">
        <v>42</v>
      </c>
      <c r="H138" s="1" t="s">
        <v>771</v>
      </c>
      <c r="I138" s="1" t="s">
        <v>772</v>
      </c>
      <c r="J138" s="27"/>
      <c r="K138" s="1"/>
      <c r="L138" s="27"/>
      <c r="M138" s="1"/>
      <c r="N138" s="1"/>
      <c r="O138" s="1">
        <f>Cotton_Buds[[#This Row],[Цена за 1 бр. в BGN]]*Cotton_Buds[[#This Row],[Поръчано Количество]]</f>
        <v>0</v>
      </c>
      <c r="P138" s="1"/>
      <c r="Q138" s="1"/>
      <c r="R138" s="1" t="str" cm="1">
        <f t="array" ref="R138">_xlfn.SWITCH(S138,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38" s="1"/>
    </row>
    <row r="139" spans="1:19" ht="30">
      <c r="A139" s="1" t="s">
        <v>773</v>
      </c>
      <c r="B139" s="1">
        <v>3</v>
      </c>
      <c r="C139" s="1"/>
      <c r="D139" s="27">
        <v>45723</v>
      </c>
      <c r="E139" s="1" t="s">
        <v>595</v>
      </c>
      <c r="F139" s="33">
        <v>45716.226759259262</v>
      </c>
      <c r="G139" s="1" t="s">
        <v>42</v>
      </c>
      <c r="H139" s="1" t="s">
        <v>771</v>
      </c>
      <c r="I139" s="1" t="s">
        <v>772</v>
      </c>
      <c r="J139" s="27"/>
      <c r="K139" s="1"/>
      <c r="L139" s="27"/>
      <c r="M139" s="1"/>
      <c r="N139" s="1"/>
      <c r="O139" s="1">
        <f>Cotton_Buds[[#This Row],[Цена за 1 бр. в BGN]]*Cotton_Buds[[#This Row],[Поръчано Количество]]</f>
        <v>0</v>
      </c>
      <c r="P139" s="1"/>
      <c r="Q139" s="1"/>
      <c r="R139" s="1" t="str" cm="1">
        <f t="array" ref="R139">_xlfn.SWITCH(S139,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39" s="1"/>
    </row>
    <row r="140" spans="1:19">
      <c r="A140" s="1" t="s">
        <v>774</v>
      </c>
      <c r="B140" s="1">
        <v>1</v>
      </c>
      <c r="C140" s="1"/>
      <c r="D140" s="27">
        <v>45723</v>
      </c>
      <c r="E140" s="1" t="s">
        <v>63</v>
      </c>
      <c r="F140" s="33">
        <v>45716.230358796296</v>
      </c>
      <c r="G140" s="1" t="s">
        <v>22</v>
      </c>
      <c r="H140" s="1"/>
      <c r="I140" s="1"/>
      <c r="J140" s="27"/>
      <c r="K140" s="1"/>
      <c r="L140" s="27"/>
      <c r="M140" s="1"/>
      <c r="N140" s="1"/>
      <c r="O140" s="1">
        <f>Cotton_Buds[[#This Row],[Цена за 1 бр. в BGN]]*Cotton_Buds[[#This Row],[Поръчано Количество]]</f>
        <v>0</v>
      </c>
      <c r="P140" s="1"/>
      <c r="Q140" s="1"/>
      <c r="R140" s="1" t="str" cm="1">
        <f t="array" ref="R140">_xlfn.SWITCH(S140,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40" s="1"/>
    </row>
    <row r="141" spans="1:19">
      <c r="A141" s="1" t="s">
        <v>775</v>
      </c>
      <c r="B141" s="1">
        <v>12</v>
      </c>
      <c r="C141" s="1"/>
      <c r="D141" s="27">
        <v>45723</v>
      </c>
      <c r="E141" s="1" t="s">
        <v>63</v>
      </c>
      <c r="F141" s="33">
        <v>45716.235347222224</v>
      </c>
      <c r="G141" s="1" t="s">
        <v>22</v>
      </c>
      <c r="H141" s="1"/>
      <c r="I141" s="1" t="s">
        <v>300</v>
      </c>
      <c r="J141" s="27"/>
      <c r="K141" s="1"/>
      <c r="L141" s="27"/>
      <c r="M141" s="1"/>
      <c r="N141" s="1"/>
      <c r="O141" s="1">
        <f>Cotton_Buds[[#This Row],[Цена за 1 бр. в BGN]]*Cotton_Buds[[#This Row],[Поръчано Количество]]</f>
        <v>0</v>
      </c>
      <c r="P141" s="1"/>
      <c r="Q141" s="1"/>
      <c r="R141" s="1" t="str" cm="1">
        <f t="array" ref="R141">_xlfn.SWITCH(S141,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41" s="1"/>
    </row>
    <row r="142" spans="1:19" ht="30">
      <c r="A142" s="1" t="s">
        <v>776</v>
      </c>
      <c r="B142" s="1">
        <v>10</v>
      </c>
      <c r="C142" s="1"/>
      <c r="D142" s="27">
        <v>45723</v>
      </c>
      <c r="E142" s="1" t="s">
        <v>595</v>
      </c>
      <c r="F142" s="33">
        <v>45716.261608796296</v>
      </c>
      <c r="G142" s="1" t="s">
        <v>42</v>
      </c>
      <c r="H142" s="1" t="s">
        <v>771</v>
      </c>
      <c r="I142" s="1" t="s">
        <v>48</v>
      </c>
      <c r="J142" s="27"/>
      <c r="K142" s="1"/>
      <c r="L142" s="27"/>
      <c r="M142" s="1"/>
      <c r="N142" s="1"/>
      <c r="O142" s="1">
        <f>Cotton_Buds[[#This Row],[Цена за 1 бр. в BGN]]*Cotton_Buds[[#This Row],[Поръчано Количество]]</f>
        <v>0</v>
      </c>
      <c r="P142" s="1"/>
      <c r="Q142" s="1"/>
      <c r="R142" s="1" t="str" cm="1">
        <f t="array" ref="R142">_xlfn.SWITCH(S142,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42" s="1"/>
    </row>
    <row r="143" spans="1:19" ht="30">
      <c r="A143" s="1" t="s">
        <v>777</v>
      </c>
      <c r="B143" s="1">
        <v>4</v>
      </c>
      <c r="C143" s="1">
        <v>4</v>
      </c>
      <c r="D143" s="27">
        <v>45764</v>
      </c>
      <c r="E143" s="1" t="s">
        <v>595</v>
      </c>
      <c r="F143" s="33">
        <v>45764.390034722222</v>
      </c>
      <c r="G143" s="1" t="s">
        <v>22</v>
      </c>
      <c r="H143" s="39" t="s">
        <v>257</v>
      </c>
      <c r="I143" s="1" t="s">
        <v>101</v>
      </c>
      <c r="J143" s="27"/>
      <c r="K143" s="1"/>
      <c r="L143" s="27">
        <v>45831</v>
      </c>
      <c r="M143" s="1">
        <v>4</v>
      </c>
      <c r="N143" s="1">
        <v>9.6</v>
      </c>
      <c r="O143" s="1">
        <f>Cotton_Buds[[#This Row],[Цена за 1 бр. в BGN]]*Cotton_Buds[[#This Row],[Поръчано Количество]]</f>
        <v>38.4</v>
      </c>
      <c r="P143" s="1"/>
      <c r="Q143" s="1"/>
      <c r="R143" s="1" t="str" cm="1">
        <f t="array" ref="R143">_xlfn.SWITCH(S143,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43" s="1"/>
    </row>
    <row r="144" spans="1:19" ht="45">
      <c r="A144" s="1" t="s">
        <v>778</v>
      </c>
      <c r="B144" s="1">
        <v>6</v>
      </c>
      <c r="C144" s="1"/>
      <c r="D144" s="27">
        <v>45729</v>
      </c>
      <c r="E144" s="1" t="s">
        <v>779</v>
      </c>
      <c r="F144" s="33">
        <v>45721.321574074071</v>
      </c>
      <c r="G144" s="1" t="s">
        <v>780</v>
      </c>
      <c r="H144" s="1"/>
      <c r="I144" s="1" t="s">
        <v>101</v>
      </c>
      <c r="J144" s="27"/>
      <c r="K144" s="1"/>
      <c r="L144" s="27"/>
      <c r="M144" s="1"/>
      <c r="N144" s="1"/>
      <c r="O144" s="1">
        <f>Cotton_Buds[[#This Row],[Цена за 1 бр. в BGN]]*Cotton_Buds[[#This Row],[Поръчано Количество]]</f>
        <v>0</v>
      </c>
      <c r="P144" s="1"/>
      <c r="Q144" s="1"/>
      <c r="R144" s="1" t="str" cm="1">
        <f t="array" ref="R144">_xlfn.SWITCH(S144,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44" s="1"/>
    </row>
    <row r="145" spans="1:19" ht="30">
      <c r="A145" s="1" t="s">
        <v>781</v>
      </c>
      <c r="B145" s="1">
        <v>10</v>
      </c>
      <c r="C145" s="1">
        <v>10</v>
      </c>
      <c r="D145" s="27">
        <v>45793</v>
      </c>
      <c r="E145" s="1" t="s">
        <v>595</v>
      </c>
      <c r="F145" s="33">
        <v>45777.197916666664</v>
      </c>
      <c r="G145" s="1" t="s">
        <v>22</v>
      </c>
      <c r="H145" s="39" t="s">
        <v>257</v>
      </c>
      <c r="I145" s="1" t="s">
        <v>101</v>
      </c>
      <c r="J145" s="27"/>
      <c r="K145" s="1"/>
      <c r="L145" s="27">
        <v>45832</v>
      </c>
      <c r="M145" s="1">
        <v>10</v>
      </c>
      <c r="N145" s="1">
        <v>3.56</v>
      </c>
      <c r="O145" s="1">
        <f>Cotton_Buds[[#This Row],[Цена за 1 бр. в BGN]]*Cotton_Buds[[#This Row],[Поръчано Количество]]</f>
        <v>35.6</v>
      </c>
      <c r="P145" s="1"/>
      <c r="Q145" s="1"/>
      <c r="R145" s="1" t="str" cm="1">
        <f t="array" ref="R145">_xlfn.SWITCH(S145,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45" s="1"/>
    </row>
    <row r="146" spans="1:19" ht="30">
      <c r="A146" s="1" t="s">
        <v>782</v>
      </c>
      <c r="B146" s="1">
        <v>10</v>
      </c>
      <c r="C146" s="1">
        <v>10</v>
      </c>
      <c r="D146" s="27">
        <v>45793</v>
      </c>
      <c r="E146" s="1" t="s">
        <v>595</v>
      </c>
      <c r="F146" s="33">
        <v>45777.198148148149</v>
      </c>
      <c r="G146" s="1" t="s">
        <v>22</v>
      </c>
      <c r="H146" s="39" t="s">
        <v>257</v>
      </c>
      <c r="I146" s="1" t="s">
        <v>101</v>
      </c>
      <c r="J146" s="27"/>
      <c r="K146" s="1"/>
      <c r="L146" s="27">
        <v>45832</v>
      </c>
      <c r="M146" s="1">
        <v>10</v>
      </c>
      <c r="N146" s="1">
        <v>5.55</v>
      </c>
      <c r="O146" s="1">
        <f>Cotton_Buds[[#This Row],[Цена за 1 бр. в BGN]]*Cotton_Buds[[#This Row],[Поръчано Количество]]</f>
        <v>55.5</v>
      </c>
      <c r="P146" s="1"/>
      <c r="Q146" s="1"/>
      <c r="R146" s="1" t="str" cm="1">
        <f t="array" ref="R146">_xlfn.SWITCH(S146,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46" s="1"/>
    </row>
    <row r="147" spans="1:19" ht="30">
      <c r="A147" s="1" t="s">
        <v>783</v>
      </c>
      <c r="B147" s="1">
        <v>2</v>
      </c>
      <c r="C147" s="1"/>
      <c r="D147" s="27">
        <v>45726</v>
      </c>
      <c r="E147" s="1" t="s">
        <v>602</v>
      </c>
      <c r="F147" s="33">
        <v>45726.39644675926</v>
      </c>
      <c r="G147" s="1" t="s">
        <v>22</v>
      </c>
      <c r="H147" s="1"/>
      <c r="I147" s="1" t="s">
        <v>51</v>
      </c>
      <c r="J147" s="27"/>
      <c r="K147" s="1"/>
      <c r="L147" s="27"/>
      <c r="M147" s="1"/>
      <c r="N147" s="1">
        <f>15*1.95568</f>
        <v>29.3352</v>
      </c>
      <c r="O147" s="1">
        <f>Cotton_Buds[[#This Row],[Цена за 1 бр. в BGN]]*Cotton_Buds[[#This Row],[Поръчано Количество]]</f>
        <v>0</v>
      </c>
      <c r="P147" s="1"/>
      <c r="Q147" s="1"/>
      <c r="R147" s="1" t="str" cm="1">
        <f t="array" ref="R147">_xlfn.SWITCH(S147,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47" s="1"/>
    </row>
    <row r="148" spans="1:19" ht="30">
      <c r="A148" s="1" t="s">
        <v>784</v>
      </c>
      <c r="B148" s="1">
        <v>20</v>
      </c>
      <c r="C148" s="1"/>
      <c r="D148" s="27">
        <v>45737</v>
      </c>
      <c r="E148" s="1" t="s">
        <v>602</v>
      </c>
      <c r="F148" s="33">
        <v>45726.388449074075</v>
      </c>
      <c r="G148" s="1" t="s">
        <v>42</v>
      </c>
      <c r="H148" s="1"/>
      <c r="I148" s="1" t="s">
        <v>75</v>
      </c>
      <c r="J148" s="27"/>
      <c r="K148" s="1"/>
      <c r="L148" s="27"/>
      <c r="M148" s="1"/>
      <c r="N148" s="19"/>
      <c r="O148" s="1">
        <f>Cotton_Buds[[#This Row],[Цена за 1 бр. в BGN]]*Cotton_Buds[[#This Row],[Поръчано Количество]]</f>
        <v>0</v>
      </c>
      <c r="P148" s="1"/>
      <c r="Q148" s="1"/>
      <c r="R148" s="1" t="str" cm="1">
        <f t="array" ref="R148">_xlfn.SWITCH(S148,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48" s="1"/>
    </row>
    <row r="149" spans="1:19" ht="30">
      <c r="A149" s="1" t="s">
        <v>785</v>
      </c>
      <c r="B149" s="1">
        <v>20</v>
      </c>
      <c r="C149" s="1"/>
      <c r="D149" s="27">
        <v>45737</v>
      </c>
      <c r="E149" s="1" t="s">
        <v>602</v>
      </c>
      <c r="F149" s="33">
        <v>45726.38826388889</v>
      </c>
      <c r="G149" s="1" t="s">
        <v>42</v>
      </c>
      <c r="H149" s="1"/>
      <c r="I149" s="1" t="s">
        <v>75</v>
      </c>
      <c r="J149" s="27"/>
      <c r="K149" s="1"/>
      <c r="L149" s="27"/>
      <c r="M149" s="1"/>
      <c r="N149" s="19"/>
      <c r="O149" s="1">
        <f>Cotton_Buds[[#This Row],[Цена за 1 бр. в BGN]]*Cotton_Buds[[#This Row],[Поръчано Количество]]</f>
        <v>0</v>
      </c>
      <c r="P149" s="1"/>
      <c r="Q149" s="1"/>
      <c r="R149" s="1" t="str" cm="1">
        <f t="array" ref="R149">_xlfn.SWITCH(S149,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49" s="1"/>
    </row>
    <row r="150" spans="1:19" ht="30">
      <c r="A150" s="1" t="s">
        <v>786</v>
      </c>
      <c r="B150" s="1">
        <v>3</v>
      </c>
      <c r="C150" s="1"/>
      <c r="D150" s="27">
        <v>45736</v>
      </c>
      <c r="E150" s="1" t="s">
        <v>595</v>
      </c>
      <c r="F150" s="33">
        <v>45730.588055555556</v>
      </c>
      <c r="G150" s="1" t="s">
        <v>42</v>
      </c>
      <c r="H150" s="1" t="s">
        <v>771</v>
      </c>
      <c r="I150" s="1" t="s">
        <v>772</v>
      </c>
      <c r="J150" s="27"/>
      <c r="K150" s="1"/>
      <c r="L150" s="27"/>
      <c r="M150" s="1"/>
      <c r="N150" s="1"/>
      <c r="O150" s="1">
        <f>Cotton_Buds[[#This Row],[Цена за 1 бр. в BGN]]*Cotton_Buds[[#This Row],[Поръчано Количество]]</f>
        <v>0</v>
      </c>
      <c r="P150" s="1"/>
      <c r="Q150" s="1"/>
      <c r="R150" s="1" t="str" cm="1">
        <f t="array" ref="R150">_xlfn.SWITCH(S150,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50" s="1"/>
    </row>
    <row r="151" spans="1:19" ht="30">
      <c r="A151" s="1" t="s">
        <v>787</v>
      </c>
      <c r="B151" s="1">
        <v>1</v>
      </c>
      <c r="C151" s="1"/>
      <c r="D151" s="27">
        <v>45751</v>
      </c>
      <c r="E151" s="1" t="s">
        <v>595</v>
      </c>
      <c r="F151" s="33">
        <v>45733.447245370371</v>
      </c>
      <c r="G151" s="1" t="s">
        <v>22</v>
      </c>
      <c r="H151" s="39" t="s">
        <v>788</v>
      </c>
      <c r="I151" s="1" t="s">
        <v>772</v>
      </c>
      <c r="J151" s="27"/>
      <c r="K151" s="1"/>
      <c r="L151" s="27"/>
      <c r="M151" s="1"/>
      <c r="N151" s="1"/>
      <c r="O151" s="1">
        <f>Cotton_Buds[[#This Row],[Цена за 1 бр. в BGN]]*Cotton_Buds[[#This Row],[Поръчано Количество]]</f>
        <v>0</v>
      </c>
      <c r="P151" s="1"/>
      <c r="Q151" s="1"/>
      <c r="R151" s="1" t="str" cm="1">
        <f t="array" ref="R151">_xlfn.SWITCH(S151,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51" s="1"/>
    </row>
    <row r="152" spans="1:19" ht="30">
      <c r="A152" s="1" t="s">
        <v>789</v>
      </c>
      <c r="B152" s="1">
        <v>2</v>
      </c>
      <c r="C152" s="1"/>
      <c r="D152" s="27">
        <v>45751</v>
      </c>
      <c r="E152" s="1" t="s">
        <v>595</v>
      </c>
      <c r="F152" s="33">
        <v>45733.447812500002</v>
      </c>
      <c r="G152" s="1" t="s">
        <v>22</v>
      </c>
      <c r="H152" s="39" t="s">
        <v>788</v>
      </c>
      <c r="I152" s="1" t="s">
        <v>772</v>
      </c>
      <c r="J152" s="27"/>
      <c r="K152" s="1"/>
      <c r="L152" s="27"/>
      <c r="M152" s="1"/>
      <c r="N152" s="1"/>
      <c r="O152" s="1">
        <f>Cotton_Buds[[#This Row],[Цена за 1 бр. в BGN]]*Cotton_Buds[[#This Row],[Поръчано Количество]]</f>
        <v>0</v>
      </c>
      <c r="P152" s="1"/>
      <c r="Q152" s="1"/>
      <c r="R152" s="1" t="str" cm="1">
        <f t="array" ref="R152">_xlfn.SWITCH(S152,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52" s="1"/>
    </row>
    <row r="153" spans="1:19" ht="30">
      <c r="A153" s="1" t="s">
        <v>790</v>
      </c>
      <c r="B153" s="1">
        <v>1</v>
      </c>
      <c r="C153" s="1"/>
      <c r="D153" s="27">
        <v>45751</v>
      </c>
      <c r="E153" s="1" t="s">
        <v>595</v>
      </c>
      <c r="F153" s="33">
        <v>45733.448518518519</v>
      </c>
      <c r="G153" s="1" t="s">
        <v>22</v>
      </c>
      <c r="H153" s="39" t="s">
        <v>788</v>
      </c>
      <c r="I153" s="1" t="s">
        <v>772</v>
      </c>
      <c r="J153" s="27"/>
      <c r="K153" s="1"/>
      <c r="L153" s="27"/>
      <c r="M153" s="1"/>
      <c r="N153" s="1"/>
      <c r="O153" s="1">
        <f>Cotton_Buds[[#This Row],[Цена за 1 бр. в BGN]]*Cotton_Buds[[#This Row],[Поръчано Количество]]</f>
        <v>0</v>
      </c>
      <c r="P153" s="1"/>
      <c r="Q153" s="1"/>
      <c r="R153" s="1" t="str" cm="1">
        <f t="array" ref="R153">_xlfn.SWITCH(S153,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53" s="1"/>
    </row>
    <row r="154" spans="1:19" ht="30">
      <c r="A154" s="1" t="s">
        <v>791</v>
      </c>
      <c r="B154" s="1">
        <v>4</v>
      </c>
      <c r="C154" s="1"/>
      <c r="D154" s="27">
        <v>45751</v>
      </c>
      <c r="E154" s="1" t="s">
        <v>595</v>
      </c>
      <c r="F154" s="33">
        <v>45740.430914351855</v>
      </c>
      <c r="G154" s="1" t="s">
        <v>22</v>
      </c>
      <c r="H154" s="39" t="s">
        <v>788</v>
      </c>
      <c r="I154" s="1" t="s">
        <v>772</v>
      </c>
      <c r="J154" s="27"/>
      <c r="K154" s="1"/>
      <c r="L154" s="27"/>
      <c r="M154" s="1"/>
      <c r="N154" s="1"/>
      <c r="O154" s="1">
        <f>Cotton_Buds[[#This Row],[Цена за 1 бр. в BGN]]*Cotton_Buds[[#This Row],[Поръчано Количество]]</f>
        <v>0</v>
      </c>
      <c r="P154" s="1"/>
      <c r="Q154" s="1"/>
      <c r="R154" s="1" t="str" cm="1">
        <f t="array" ref="R154">_xlfn.SWITCH(S154,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54" s="1"/>
    </row>
    <row r="155" spans="1:19">
      <c r="A155" s="1" t="s">
        <v>792</v>
      </c>
      <c r="B155" s="1">
        <v>1</v>
      </c>
      <c r="C155" s="1"/>
      <c r="D155" s="27">
        <v>45749</v>
      </c>
      <c r="E155" s="1" t="s">
        <v>602</v>
      </c>
      <c r="F155" s="33">
        <v>45749.214282407411</v>
      </c>
      <c r="G155" s="1"/>
      <c r="H155" s="39" t="s">
        <v>708</v>
      </c>
      <c r="I155" s="1" t="s">
        <v>607</v>
      </c>
      <c r="J155" s="27"/>
      <c r="K155" s="1"/>
      <c r="L155" s="27"/>
      <c r="M155" s="1"/>
      <c r="N155" s="1"/>
      <c r="O155" s="1">
        <f>Cotton_Buds[[#This Row],[Цена за 1 бр. в BGN]]*Cotton_Buds[[#This Row],[Поръчано Количество]]</f>
        <v>0</v>
      </c>
      <c r="P155" s="1"/>
      <c r="Q155" s="1"/>
      <c r="R155" s="1" t="str" cm="1">
        <f t="array" ref="R155">_xlfn.SWITCH(S155,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55" s="1"/>
    </row>
    <row r="156" spans="1:19">
      <c r="A156" s="1" t="s">
        <v>793</v>
      </c>
      <c r="B156" s="1">
        <v>6</v>
      </c>
      <c r="C156" s="1"/>
      <c r="D156" s="27">
        <v>45793</v>
      </c>
      <c r="E156" s="1" t="s">
        <v>63</v>
      </c>
      <c r="F156" s="33">
        <v>45777.210439814815</v>
      </c>
      <c r="G156" s="1" t="s">
        <v>22</v>
      </c>
      <c r="H156" s="39"/>
      <c r="I156" s="1" t="s">
        <v>300</v>
      </c>
      <c r="J156" s="27"/>
      <c r="K156" s="1"/>
      <c r="L156" s="27"/>
      <c r="M156" s="1"/>
      <c r="N156" s="1"/>
      <c r="O156" s="1">
        <f>Cotton_Buds[[#This Row],[Цена за 1 бр. в BGN]]*Cotton_Buds[[#This Row],[Поръчано Количество]]</f>
        <v>0</v>
      </c>
      <c r="P156" s="1"/>
      <c r="Q156" s="1"/>
      <c r="R156" s="1" t="str" cm="1">
        <f t="array" ref="R156">_xlfn.SWITCH(S156,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56" s="1"/>
    </row>
    <row r="157" spans="1:19">
      <c r="A157" s="1" t="s">
        <v>794</v>
      </c>
      <c r="B157" s="1">
        <v>6</v>
      </c>
      <c r="C157" s="1"/>
      <c r="D157" s="27">
        <v>45793</v>
      </c>
      <c r="E157" s="1" t="s">
        <v>63</v>
      </c>
      <c r="F157" s="33">
        <v>45777.210740740738</v>
      </c>
      <c r="G157" s="1" t="s">
        <v>22</v>
      </c>
      <c r="H157" s="39"/>
      <c r="I157" s="1" t="s">
        <v>300</v>
      </c>
      <c r="J157" s="27"/>
      <c r="K157" s="1"/>
      <c r="L157" s="27"/>
      <c r="M157" s="1"/>
      <c r="N157" s="1"/>
      <c r="O157" s="1">
        <f>Cotton_Buds[[#This Row],[Цена за 1 бр. в BGN]]*Cotton_Buds[[#This Row],[Поръчано Количество]]</f>
        <v>0</v>
      </c>
      <c r="P157" s="1"/>
      <c r="Q157" s="1"/>
      <c r="R157" s="1" t="str" cm="1">
        <f t="array" ref="R157">_xlfn.SWITCH(S157,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57" s="1"/>
    </row>
    <row r="158" spans="1:19">
      <c r="A158" s="1" t="s">
        <v>795</v>
      </c>
      <c r="B158" s="1">
        <v>6</v>
      </c>
      <c r="C158" s="1"/>
      <c r="D158" s="27">
        <v>45793</v>
      </c>
      <c r="E158" s="1" t="s">
        <v>63</v>
      </c>
      <c r="F158" s="33">
        <v>45777.210995370369</v>
      </c>
      <c r="G158" s="1" t="s">
        <v>22</v>
      </c>
      <c r="H158" s="39"/>
      <c r="I158" s="1" t="s">
        <v>300</v>
      </c>
      <c r="J158" s="27"/>
      <c r="K158" s="1"/>
      <c r="L158" s="27"/>
      <c r="M158" s="1"/>
      <c r="N158" s="1"/>
      <c r="O158" s="1">
        <f>Cotton_Buds[[#This Row],[Цена за 1 бр. в BGN]]*Cotton_Buds[[#This Row],[Поръчано Количество]]</f>
        <v>0</v>
      </c>
      <c r="P158" s="1"/>
      <c r="Q158" s="1"/>
      <c r="R158" s="1" t="str" cm="1">
        <f t="array" ref="R158">_xlfn.SWITCH(S158,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58" s="1"/>
    </row>
    <row r="159" spans="1:19">
      <c r="A159" s="1" t="s">
        <v>796</v>
      </c>
      <c r="B159" s="1">
        <v>6</v>
      </c>
      <c r="C159" s="1"/>
      <c r="D159" s="27">
        <v>45793</v>
      </c>
      <c r="E159" s="1" t="s">
        <v>63</v>
      </c>
      <c r="F159" s="33">
        <v>45777.21125</v>
      </c>
      <c r="G159" s="1" t="s">
        <v>22</v>
      </c>
      <c r="H159" s="39"/>
      <c r="I159" s="1" t="s">
        <v>300</v>
      </c>
      <c r="J159" s="27"/>
      <c r="K159" s="1"/>
      <c r="L159" s="27"/>
      <c r="M159" s="1"/>
      <c r="N159" s="1"/>
      <c r="O159" s="1">
        <f>Cotton_Buds[[#This Row],[Цена за 1 бр. в BGN]]*Cotton_Buds[[#This Row],[Поръчано Количество]]</f>
        <v>0</v>
      </c>
      <c r="P159" s="1"/>
      <c r="Q159" s="1"/>
      <c r="R159" s="1" t="str" cm="1">
        <f t="array" ref="R159">_xlfn.SWITCH(S159,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59" s="1"/>
    </row>
    <row r="160" spans="1:19">
      <c r="A160" s="1" t="s">
        <v>797</v>
      </c>
      <c r="B160" s="1">
        <v>4</v>
      </c>
      <c r="C160" s="1">
        <v>4</v>
      </c>
      <c r="D160" s="27">
        <v>45782</v>
      </c>
      <c r="E160" s="1" t="s">
        <v>600</v>
      </c>
      <c r="F160" s="33">
        <v>45779.227789351855</v>
      </c>
      <c r="G160" s="1" t="s">
        <v>22</v>
      </c>
      <c r="H160" s="39" t="s">
        <v>798</v>
      </c>
      <c r="I160" s="1" t="s">
        <v>104</v>
      </c>
      <c r="J160" s="27">
        <v>45784</v>
      </c>
      <c r="K160" s="1"/>
      <c r="L160" s="27"/>
      <c r="M160" s="1"/>
      <c r="N160" s="1">
        <v>99.08</v>
      </c>
      <c r="O160" s="1">
        <f>Cotton_Buds[[#This Row],[Цена за 1 бр. в BGN]]*Cotton_Buds[[#This Row],[Поръчано Количество]]</f>
        <v>396.32</v>
      </c>
      <c r="P160" s="1"/>
      <c r="Q160" s="1"/>
      <c r="R160" s="1" t="str" cm="1">
        <f t="array" ref="R160">_xlfn.SWITCH(S160,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60" s="1"/>
    </row>
    <row r="161" spans="1:19" ht="30">
      <c r="A161" s="1" t="s">
        <v>799</v>
      </c>
      <c r="B161" s="1">
        <v>2</v>
      </c>
      <c r="C161" s="1"/>
      <c r="D161" s="27">
        <v>45772</v>
      </c>
      <c r="E161" s="1" t="s">
        <v>595</v>
      </c>
      <c r="F161" s="33">
        <v>45754.40420138889</v>
      </c>
      <c r="G161" s="1"/>
      <c r="H161" s="39" t="s">
        <v>788</v>
      </c>
      <c r="I161" s="1" t="s">
        <v>772</v>
      </c>
      <c r="J161" s="27"/>
      <c r="K161" s="1"/>
      <c r="L161" s="27"/>
      <c r="M161" s="1"/>
      <c r="N161" s="1"/>
      <c r="O161" s="1">
        <f>Cotton_Buds[[#This Row],[Цена за 1 бр. в BGN]]*Cotton_Buds[[#This Row],[Поръчано Количество]]</f>
        <v>0</v>
      </c>
      <c r="P161" s="1"/>
      <c r="Q161" s="1"/>
      <c r="R161" s="1" t="str" cm="1">
        <f t="array" ref="R161">_xlfn.SWITCH(S161,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61" s="1"/>
    </row>
    <row r="162" spans="1:19" ht="30">
      <c r="A162" s="1" t="s">
        <v>800</v>
      </c>
      <c r="B162" s="1">
        <v>2</v>
      </c>
      <c r="C162" s="1"/>
      <c r="D162" s="27">
        <v>45772</v>
      </c>
      <c r="E162" s="1" t="s">
        <v>595</v>
      </c>
      <c r="F162" s="33">
        <v>45757.23369212963</v>
      </c>
      <c r="G162" s="1" t="s">
        <v>22</v>
      </c>
      <c r="H162" s="39" t="s">
        <v>788</v>
      </c>
      <c r="I162" s="1" t="s">
        <v>772</v>
      </c>
      <c r="J162" s="27"/>
      <c r="K162" s="1"/>
      <c r="L162" s="27"/>
      <c r="M162" s="1"/>
      <c r="N162" s="1">
        <f>15*1.95568</f>
        <v>29.3352</v>
      </c>
      <c r="O162" s="1">
        <f>Cotton_Buds[[#This Row],[Цена за 1 бр. в BGN]]*Cotton_Buds[[#This Row],[Поръчано Количество]]</f>
        <v>0</v>
      </c>
      <c r="P162" s="1"/>
      <c r="Q162" s="1"/>
      <c r="R162" s="1" t="str" cm="1">
        <f t="array" ref="R162">_xlfn.SWITCH(S162,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62" s="1"/>
    </row>
    <row r="163" spans="1:19">
      <c r="A163" s="1" t="s">
        <v>801</v>
      </c>
      <c r="B163" s="1">
        <v>1</v>
      </c>
      <c r="C163" s="1"/>
      <c r="D163" s="27">
        <v>45773</v>
      </c>
      <c r="E163" s="1" t="s">
        <v>619</v>
      </c>
      <c r="F163" s="33">
        <v>45757.256481481483</v>
      </c>
      <c r="G163" s="1" t="s">
        <v>22</v>
      </c>
      <c r="H163" s="39"/>
      <c r="I163" s="1" t="s">
        <v>300</v>
      </c>
      <c r="J163" s="27"/>
      <c r="K163" s="1"/>
      <c r="L163" s="27"/>
      <c r="M163" s="1"/>
      <c r="N163" s="1"/>
      <c r="O163" s="1">
        <f>Cotton_Buds[[#This Row],[Цена за 1 бр. в BGN]]*Cotton_Buds[[#This Row],[Поръчано Количество]]</f>
        <v>0</v>
      </c>
      <c r="P163" s="1"/>
      <c r="Q163" s="1"/>
      <c r="R163" s="1" t="str" cm="1">
        <f t="array" ref="R163">_xlfn.SWITCH(S163,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63" s="1"/>
    </row>
    <row r="164" spans="1:19" ht="30">
      <c r="A164" s="1" t="s">
        <v>802</v>
      </c>
      <c r="B164" s="1">
        <v>1</v>
      </c>
      <c r="C164" s="1"/>
      <c r="D164" s="27">
        <v>45764</v>
      </c>
      <c r="E164" s="1" t="s">
        <v>610</v>
      </c>
      <c r="F164" s="33">
        <v>45757.355567129627</v>
      </c>
      <c r="G164" s="1" t="s">
        <v>42</v>
      </c>
      <c r="H164" s="39" t="s">
        <v>803</v>
      </c>
      <c r="I164" s="1" t="s">
        <v>261</v>
      </c>
      <c r="J164" s="27"/>
      <c r="K164" s="1"/>
      <c r="L164" s="27"/>
      <c r="M164" s="1"/>
      <c r="N164" s="1">
        <f>15*1.95568</f>
        <v>29.3352</v>
      </c>
      <c r="O164" s="1">
        <f>Cotton_Buds[[#This Row],[Цена за 1 бр. в BGN]]*Cotton_Buds[[#This Row],[Поръчано Количество]]</f>
        <v>0</v>
      </c>
      <c r="P164" s="1"/>
      <c r="Q164" s="1"/>
      <c r="R164" s="1" t="str" cm="1">
        <f t="array" ref="R164">_xlfn.SWITCH(S164,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64" s="1"/>
    </row>
    <row r="165" spans="1:19">
      <c r="A165" s="1" t="s">
        <v>804</v>
      </c>
      <c r="B165" s="1">
        <v>2</v>
      </c>
      <c r="C165" s="1"/>
      <c r="D165" s="27">
        <v>45777</v>
      </c>
      <c r="E165" s="1" t="s">
        <v>769</v>
      </c>
      <c r="F165" s="33">
        <v>45758.212037037039</v>
      </c>
      <c r="G165" s="1"/>
      <c r="H165" s="39"/>
      <c r="I165" s="1"/>
      <c r="J165" s="27"/>
      <c r="K165" s="1"/>
      <c r="L165" s="27"/>
      <c r="M165" s="1"/>
      <c r="N165" s="1"/>
      <c r="O165" s="1">
        <f>Cotton_Buds[[#This Row],[Цена за 1 бр. в BGN]]*Cotton_Buds[[#This Row],[Поръчано Количество]]</f>
        <v>0</v>
      </c>
      <c r="P165" s="1"/>
      <c r="Q165" s="1"/>
      <c r="R165" s="1" t="str" cm="1">
        <f t="array" ref="R165">_xlfn.SWITCH(S165,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65" s="1"/>
    </row>
    <row r="166" spans="1:19">
      <c r="A166" s="1" t="s">
        <v>805</v>
      </c>
      <c r="B166" s="1">
        <v>4</v>
      </c>
      <c r="C166" s="1"/>
      <c r="D166" s="27">
        <v>45777</v>
      </c>
      <c r="E166" s="1" t="s">
        <v>602</v>
      </c>
      <c r="F166" s="33">
        <v>45761.284351851849</v>
      </c>
      <c r="G166" s="1"/>
      <c r="H166" s="39"/>
      <c r="I166" s="1"/>
      <c r="J166" s="27"/>
      <c r="K166" s="1"/>
      <c r="L166" s="27"/>
      <c r="M166" s="1"/>
      <c r="N166" s="1"/>
      <c r="O166" s="1">
        <f>Cotton_Buds[[#This Row],[Цена за 1 бр. в BGN]]*Cotton_Buds[[#This Row],[Поръчано Количество]]</f>
        <v>0</v>
      </c>
      <c r="P166" s="1"/>
      <c r="Q166" s="1"/>
      <c r="R166" s="1" t="str" cm="1">
        <f t="array" ref="R166">_xlfn.SWITCH(S166,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66" s="1"/>
    </row>
    <row r="167" spans="1:19">
      <c r="A167" s="1" t="s">
        <v>806</v>
      </c>
      <c r="B167" s="1">
        <v>10</v>
      </c>
      <c r="C167" s="1">
        <v>10</v>
      </c>
      <c r="D167" s="27">
        <v>45793</v>
      </c>
      <c r="E167" s="1" t="s">
        <v>619</v>
      </c>
      <c r="F167" s="33">
        <v>45786.422696759262</v>
      </c>
      <c r="G167" s="1" t="s">
        <v>22</v>
      </c>
      <c r="H167" s="39"/>
      <c r="I167" s="1" t="s">
        <v>300</v>
      </c>
      <c r="J167" s="27"/>
      <c r="K167" s="1"/>
      <c r="L167" s="27"/>
      <c r="M167" s="1"/>
      <c r="N167" s="1"/>
      <c r="O167" s="1">
        <f>Cotton_Buds[[#This Row],[Цена за 1 бр. в BGN]]*Cotton_Buds[[#This Row],[Поръчано Количество]]</f>
        <v>0</v>
      </c>
      <c r="P167" s="1"/>
      <c r="Q167" s="1"/>
      <c r="R167" s="1" t="str" cm="1">
        <f t="array" ref="R167">_xlfn.SWITCH(S167,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67" s="1"/>
    </row>
    <row r="168" spans="1:19" ht="30">
      <c r="A168" s="1" t="s">
        <v>807</v>
      </c>
      <c r="B168" s="1">
        <v>120</v>
      </c>
      <c r="C168" s="1">
        <v>120</v>
      </c>
      <c r="D168" s="27">
        <v>45793</v>
      </c>
      <c r="E168" s="1" t="s">
        <v>612</v>
      </c>
      <c r="F168" s="33">
        <v>45786.423831018517</v>
      </c>
      <c r="G168" s="1" t="s">
        <v>22</v>
      </c>
      <c r="H168" s="39"/>
      <c r="I168" s="1" t="s">
        <v>58</v>
      </c>
      <c r="J168" s="27"/>
      <c r="K168" s="1"/>
      <c r="L168" s="27"/>
      <c r="M168" s="1"/>
      <c r="N168" s="1"/>
      <c r="O168" s="1">
        <f>Cotton_Buds[[#This Row],[Цена за 1 бр. в BGN]]*Cotton_Buds[[#This Row],[Поръчано Количество]]</f>
        <v>0</v>
      </c>
      <c r="P168" s="1"/>
      <c r="Q168" s="1"/>
      <c r="R168" s="1" t="str" cm="1">
        <f t="array" ref="R168">_xlfn.SWITCH(S168,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68" s="1"/>
    </row>
    <row r="169" spans="1:19">
      <c r="A169" s="1" t="s">
        <v>808</v>
      </c>
      <c r="B169" s="1">
        <v>3</v>
      </c>
      <c r="C169" s="1"/>
      <c r="D169" s="27">
        <v>45793</v>
      </c>
      <c r="E169" s="1" t="s">
        <v>63</v>
      </c>
      <c r="F169" s="33">
        <v>45786.426921296297</v>
      </c>
      <c r="G169" s="1" t="s">
        <v>22</v>
      </c>
      <c r="H169" s="39"/>
      <c r="I169" s="1" t="s">
        <v>300</v>
      </c>
      <c r="J169" s="27"/>
      <c r="K169" s="1"/>
      <c r="L169" s="27"/>
      <c r="M169" s="1"/>
      <c r="N169" s="1"/>
      <c r="O169" s="1">
        <f>Cotton_Buds[[#This Row],[Цена за 1 бр. в BGN]]*Cotton_Buds[[#This Row],[Поръчано Количество]]</f>
        <v>0</v>
      </c>
      <c r="P169" s="1"/>
      <c r="Q169" s="1"/>
      <c r="R169" s="1" t="str" cm="1">
        <f t="array" ref="R169">_xlfn.SWITCH(S169,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69" s="1"/>
    </row>
    <row r="170" spans="1:19">
      <c r="A170" s="1" t="s">
        <v>809</v>
      </c>
      <c r="B170" s="1">
        <v>3</v>
      </c>
      <c r="C170" s="1"/>
      <c r="D170" s="27">
        <v>45793</v>
      </c>
      <c r="E170" s="1" t="s">
        <v>63</v>
      </c>
      <c r="F170" s="33">
        <v>45786.427118055559</v>
      </c>
      <c r="G170" s="1" t="s">
        <v>22</v>
      </c>
      <c r="H170" s="39"/>
      <c r="I170" s="1" t="s">
        <v>300</v>
      </c>
      <c r="J170" s="27"/>
      <c r="K170" s="1"/>
      <c r="L170" s="27"/>
      <c r="M170" s="1"/>
      <c r="N170" s="1"/>
      <c r="O170" s="1">
        <f>Cotton_Buds[[#This Row],[Цена за 1 бр. в BGN]]*Cotton_Buds[[#This Row],[Поръчано Количество]]</f>
        <v>0</v>
      </c>
      <c r="P170" s="1"/>
      <c r="Q170" s="1"/>
      <c r="R170" s="1" t="str" cm="1">
        <f t="array" ref="R170">_xlfn.SWITCH(S170,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70" s="1"/>
    </row>
    <row r="171" spans="1:19">
      <c r="A171" s="1" t="s">
        <v>810</v>
      </c>
      <c r="B171" s="1">
        <v>3</v>
      </c>
      <c r="C171" s="1"/>
      <c r="D171" s="27">
        <v>45793</v>
      </c>
      <c r="E171" s="1" t="s">
        <v>63</v>
      </c>
      <c r="F171" s="33">
        <v>45786.427291666667</v>
      </c>
      <c r="G171" s="1" t="s">
        <v>22</v>
      </c>
      <c r="H171" s="39"/>
      <c r="I171" s="1" t="s">
        <v>300</v>
      </c>
      <c r="J171" s="27"/>
      <c r="K171" s="1"/>
      <c r="L171" s="27"/>
      <c r="M171" s="1"/>
      <c r="N171" s="1"/>
      <c r="O171" s="1">
        <f>Cotton_Buds[[#This Row],[Цена за 1 бр. в BGN]]*Cotton_Buds[[#This Row],[Поръчано Количество]]</f>
        <v>0</v>
      </c>
      <c r="P171" s="1"/>
      <c r="Q171" s="1"/>
      <c r="R171" s="1" t="str" cm="1">
        <f t="array" ref="R171">_xlfn.SWITCH(S171,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71" s="1"/>
    </row>
    <row r="172" spans="1:19">
      <c r="A172" s="1" t="s">
        <v>811</v>
      </c>
      <c r="B172" s="1">
        <v>3</v>
      </c>
      <c r="C172" s="1"/>
      <c r="D172" s="27">
        <v>45793</v>
      </c>
      <c r="E172" s="1" t="s">
        <v>63</v>
      </c>
      <c r="F172" s="33">
        <v>45786.427488425928</v>
      </c>
      <c r="G172" s="1" t="s">
        <v>22</v>
      </c>
      <c r="H172" s="39"/>
      <c r="I172" s="1" t="s">
        <v>300</v>
      </c>
      <c r="J172" s="27"/>
      <c r="K172" s="1"/>
      <c r="L172" s="27"/>
      <c r="M172" s="1"/>
      <c r="N172" s="1"/>
      <c r="O172" s="1">
        <f>Cotton_Buds[[#This Row],[Цена за 1 бр. в BGN]]*Cotton_Buds[[#This Row],[Поръчано Количество]]</f>
        <v>0</v>
      </c>
      <c r="P172" s="1"/>
      <c r="Q172" s="1"/>
      <c r="R172" s="1" t="str" cm="1">
        <f t="array" ref="R172">_xlfn.SWITCH(S172,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72" s="1"/>
    </row>
    <row r="173" spans="1:19" ht="30">
      <c r="A173" s="1" t="s">
        <v>812</v>
      </c>
      <c r="B173" s="1">
        <v>5</v>
      </c>
      <c r="C173" s="1"/>
      <c r="D173" s="27">
        <v>45777</v>
      </c>
      <c r="E173" s="1" t="s">
        <v>595</v>
      </c>
      <c r="F173" s="33">
        <v>45762.304386574076</v>
      </c>
      <c r="G173" s="1" t="s">
        <v>22</v>
      </c>
      <c r="H173" s="39" t="s">
        <v>813</v>
      </c>
      <c r="I173" s="1" t="s">
        <v>772</v>
      </c>
      <c r="J173" s="27"/>
      <c r="K173" s="1"/>
      <c r="L173" s="27"/>
      <c r="M173" s="1"/>
      <c r="N173" s="1"/>
      <c r="O173" s="1">
        <f>Cotton_Buds[[#This Row],[Цена за 1 бр. в BGN]]*Cotton_Buds[[#This Row],[Поръчано Количество]]</f>
        <v>0</v>
      </c>
      <c r="P173" s="1"/>
      <c r="Q173" s="1"/>
      <c r="R173" s="1" t="str" cm="1">
        <f t="array" ref="R173">_xlfn.SWITCH(S173,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73" s="1"/>
    </row>
    <row r="174" spans="1:19" ht="30">
      <c r="A174" s="1" t="s">
        <v>814</v>
      </c>
      <c r="B174" s="1">
        <v>5</v>
      </c>
      <c r="C174" s="1"/>
      <c r="D174" s="27">
        <v>45777</v>
      </c>
      <c r="E174" s="1" t="s">
        <v>595</v>
      </c>
      <c r="F174" s="33">
        <v>45762.308888888889</v>
      </c>
      <c r="G174" s="1" t="s">
        <v>22</v>
      </c>
      <c r="H174" s="39" t="s">
        <v>813</v>
      </c>
      <c r="I174" s="1" t="s">
        <v>772</v>
      </c>
      <c r="J174" s="27"/>
      <c r="K174" s="1"/>
      <c r="L174" s="27"/>
      <c r="M174" s="1"/>
      <c r="N174" s="1"/>
      <c r="O174" s="1">
        <f>Cotton_Buds[[#This Row],[Цена за 1 бр. в BGN]]*Cotton_Buds[[#This Row],[Поръчано Количество]]</f>
        <v>0</v>
      </c>
      <c r="P174" s="1"/>
      <c r="Q174" s="1"/>
      <c r="R174" s="1" t="str" cm="1">
        <f t="array" ref="R174">_xlfn.SWITCH(S174,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74" s="1"/>
    </row>
    <row r="175" spans="1:19" ht="30">
      <c r="A175" s="1" t="s">
        <v>815</v>
      </c>
      <c r="B175" s="1">
        <v>2</v>
      </c>
      <c r="C175" s="1"/>
      <c r="D175" s="27">
        <v>45777</v>
      </c>
      <c r="E175" s="1" t="s">
        <v>595</v>
      </c>
      <c r="F175" s="33">
        <v>45762.373564814814</v>
      </c>
      <c r="G175" s="1" t="s">
        <v>22</v>
      </c>
      <c r="H175" s="39" t="s">
        <v>813</v>
      </c>
      <c r="I175" s="1" t="s">
        <v>772</v>
      </c>
      <c r="J175" s="27"/>
      <c r="K175" s="1"/>
      <c r="L175" s="27"/>
      <c r="M175" s="1"/>
      <c r="N175" s="1"/>
      <c r="O175" s="1">
        <f>Cotton_Buds[[#This Row],[Цена за 1 бр. в BGN]]*Cotton_Buds[[#This Row],[Поръчано Количество]]</f>
        <v>0</v>
      </c>
      <c r="P175" s="1"/>
      <c r="Q175" s="1"/>
      <c r="R175" s="1" t="str" cm="1">
        <f t="array" ref="R175">_xlfn.SWITCH(S175,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75" s="1"/>
    </row>
    <row r="176" spans="1:19">
      <c r="A176" s="1" t="s">
        <v>816</v>
      </c>
      <c r="B176" s="1">
        <v>20</v>
      </c>
      <c r="C176" s="1">
        <f>Cotton_Buds[[#This Row],[Желано количество]]</f>
        <v>20</v>
      </c>
      <c r="D176" s="27">
        <v>45777</v>
      </c>
      <c r="E176" s="1" t="s">
        <v>610</v>
      </c>
      <c r="F176" s="33">
        <v>45763.326851851853</v>
      </c>
      <c r="G176" s="1" t="s">
        <v>22</v>
      </c>
      <c r="H176" s="39" t="s">
        <v>817</v>
      </c>
      <c r="I176" s="1" t="s">
        <v>104</v>
      </c>
      <c r="J176" s="27"/>
      <c r="K176" s="1"/>
      <c r="L176" s="27"/>
      <c r="M176" s="1"/>
      <c r="N176" s="1">
        <v>5.41</v>
      </c>
      <c r="O176" s="1">
        <f>Cotton_Buds[[#This Row],[Цена за 1 бр. в BGN]]*Cotton_Buds[[#This Row],[Поръчано Количество]]</f>
        <v>108.2</v>
      </c>
      <c r="P176" s="1"/>
      <c r="Q176" s="1"/>
      <c r="R176" s="1" t="str" cm="1">
        <f t="array" ref="R176">_xlfn.SWITCH(S176,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76" s="1"/>
    </row>
    <row r="177" spans="1:19" ht="30">
      <c r="A177" s="1" t="s">
        <v>818</v>
      </c>
      <c r="B177" s="1">
        <v>2</v>
      </c>
      <c r="C177" s="1">
        <v>2</v>
      </c>
      <c r="D177" s="27">
        <v>45778</v>
      </c>
      <c r="E177" s="1" t="s">
        <v>595</v>
      </c>
      <c r="F177" s="33">
        <v>45764.219050925924</v>
      </c>
      <c r="G177" s="1" t="s">
        <v>42</v>
      </c>
      <c r="H177" s="39" t="s">
        <v>819</v>
      </c>
      <c r="I177" s="1" t="s">
        <v>772</v>
      </c>
      <c r="J177" s="27"/>
      <c r="K177" s="1"/>
      <c r="L177" s="27"/>
      <c r="M177" s="1"/>
      <c r="N177" s="1"/>
      <c r="O177" s="1">
        <f>Cotton_Buds[[#This Row],[Цена за 1 бр. в BGN]]*Cotton_Buds[[#This Row],[Поръчано Количество]]</f>
        <v>0</v>
      </c>
      <c r="P177" s="1"/>
      <c r="Q177" s="1"/>
      <c r="R177" s="1" t="str" cm="1">
        <f t="array" ref="R177">_xlfn.SWITCH(S177,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77" s="1"/>
    </row>
    <row r="178" spans="1:19" ht="30">
      <c r="A178" s="1" t="s">
        <v>820</v>
      </c>
      <c r="B178" s="1">
        <v>10</v>
      </c>
      <c r="C178" s="1">
        <v>10</v>
      </c>
      <c r="D178" s="27">
        <v>45778</v>
      </c>
      <c r="E178" s="1" t="s">
        <v>595</v>
      </c>
      <c r="F178" s="33">
        <v>45764.222905092596</v>
      </c>
      <c r="G178" s="1" t="s">
        <v>42</v>
      </c>
      <c r="H178" s="39" t="s">
        <v>819</v>
      </c>
      <c r="I178" s="1" t="s">
        <v>772</v>
      </c>
      <c r="J178" s="27"/>
      <c r="K178" s="1"/>
      <c r="L178" s="27"/>
      <c r="M178" s="1"/>
      <c r="N178" s="1"/>
      <c r="O178" s="1">
        <f>Cotton_Buds[[#This Row],[Цена за 1 бр. в BGN]]*Cotton_Buds[[#This Row],[Поръчано Количество]]</f>
        <v>0</v>
      </c>
      <c r="P178" s="1"/>
      <c r="Q178" s="1"/>
      <c r="R178" s="1" t="str" cm="1">
        <f t="array" ref="R178">_xlfn.SWITCH(S178,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78" s="1"/>
    </row>
    <row r="179" spans="1:19" ht="30">
      <c r="A179" s="1" t="s">
        <v>821</v>
      </c>
      <c r="B179" s="1">
        <v>10</v>
      </c>
      <c r="C179" s="1">
        <v>10</v>
      </c>
      <c r="D179" s="27">
        <v>45778</v>
      </c>
      <c r="E179" s="1" t="s">
        <v>595</v>
      </c>
      <c r="F179" s="33">
        <v>45764.223414351851</v>
      </c>
      <c r="G179" s="1" t="s">
        <v>42</v>
      </c>
      <c r="H179" s="39" t="s">
        <v>819</v>
      </c>
      <c r="I179" s="1" t="s">
        <v>772</v>
      </c>
      <c r="J179" s="27"/>
      <c r="K179" s="1"/>
      <c r="L179" s="27"/>
      <c r="M179" s="1"/>
      <c r="N179" s="1"/>
      <c r="O179" s="1">
        <f>Cotton_Buds[[#This Row],[Цена за 1 бр. в BGN]]*Cotton_Buds[[#This Row],[Поръчано Количество]]</f>
        <v>0</v>
      </c>
      <c r="P179" s="1"/>
      <c r="Q179" s="1"/>
      <c r="R179" s="1" t="str" cm="1">
        <f t="array" ref="R179">_xlfn.SWITCH(S179,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79" s="1"/>
    </row>
    <row r="180" spans="1:19">
      <c r="A180" s="1" t="s">
        <v>822</v>
      </c>
      <c r="B180" s="1">
        <v>3</v>
      </c>
      <c r="C180" s="1">
        <v>3</v>
      </c>
      <c r="D180" s="27">
        <v>45777</v>
      </c>
      <c r="E180" s="1" t="s">
        <v>63</v>
      </c>
      <c r="F180" s="33">
        <v>45764.266932870371</v>
      </c>
      <c r="G180" s="1" t="s">
        <v>22</v>
      </c>
      <c r="H180" s="39">
        <v>177751</v>
      </c>
      <c r="I180" s="1" t="s">
        <v>58</v>
      </c>
      <c r="J180" s="27"/>
      <c r="K180" s="1"/>
      <c r="L180" s="27"/>
      <c r="M180" s="1"/>
      <c r="N180" s="1">
        <v>2.82</v>
      </c>
      <c r="O180" s="1">
        <f>Cotton_Buds[[#This Row],[Цена за 1 бр. в BGN]]*Cotton_Buds[[#This Row],[Поръчано Количество]]</f>
        <v>8.4599999999999991</v>
      </c>
      <c r="P180" s="1"/>
      <c r="Q180" s="1"/>
      <c r="R180" s="1" t="str" cm="1">
        <f t="array" ref="R180">_xlfn.SWITCH(S180,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80" s="1"/>
    </row>
    <row r="181" spans="1:19">
      <c r="A181" s="1" t="s">
        <v>823</v>
      </c>
      <c r="B181" s="1">
        <v>2</v>
      </c>
      <c r="C181" s="1">
        <v>2</v>
      </c>
      <c r="D181" s="27">
        <v>45777</v>
      </c>
      <c r="E181" s="1" t="s">
        <v>63</v>
      </c>
      <c r="F181" s="33">
        <v>45764.267106481479</v>
      </c>
      <c r="G181" s="1" t="s">
        <v>22</v>
      </c>
      <c r="H181" s="39">
        <v>177751</v>
      </c>
      <c r="I181" s="1" t="s">
        <v>58</v>
      </c>
      <c r="J181" s="27"/>
      <c r="K181" s="1"/>
      <c r="L181" s="27"/>
      <c r="M181" s="1"/>
      <c r="N181" s="1">
        <v>5.79</v>
      </c>
      <c r="O181" s="1">
        <f>Cotton_Buds[[#This Row],[Цена за 1 бр. в BGN]]*Cotton_Buds[[#This Row],[Поръчано Количество]]</f>
        <v>11.58</v>
      </c>
      <c r="P181" s="1"/>
      <c r="Q181" s="1"/>
      <c r="R181" s="1" t="str" cm="1">
        <f t="array" ref="R181">_xlfn.SWITCH(S181,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81" s="1"/>
    </row>
    <row r="182" spans="1:19" ht="30">
      <c r="A182" s="1" t="s">
        <v>824</v>
      </c>
      <c r="B182" s="1">
        <v>6</v>
      </c>
      <c r="C182" s="1">
        <v>6</v>
      </c>
      <c r="D182" s="27">
        <v>45782</v>
      </c>
      <c r="E182" s="1" t="s">
        <v>595</v>
      </c>
      <c r="F182" s="33">
        <v>45775.426620370374</v>
      </c>
      <c r="G182" s="1" t="s">
        <v>22</v>
      </c>
      <c r="H182" s="39" t="s">
        <v>825</v>
      </c>
      <c r="I182" s="1" t="s">
        <v>35</v>
      </c>
      <c r="J182" s="27"/>
      <c r="K182" s="1"/>
      <c r="L182" s="27">
        <v>45723</v>
      </c>
      <c r="M182" s="1">
        <v>6</v>
      </c>
      <c r="N182" s="1">
        <v>206.21</v>
      </c>
      <c r="O182" s="19">
        <f>Cotton_Buds[[#This Row],[Цена за 1 бр. в BGN]]*Cotton_Buds[[#This Row],[Поръчано Количество]]</f>
        <v>1237.26</v>
      </c>
      <c r="P182" s="1"/>
      <c r="Q182" s="1"/>
      <c r="R182" s="1" t="str" cm="1">
        <f t="array" ref="R182">_xlfn.SWITCH(S182,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82" s="1"/>
    </row>
    <row r="183" spans="1:19" ht="30">
      <c r="A183" s="1" t="s">
        <v>826</v>
      </c>
      <c r="B183" s="1">
        <v>50</v>
      </c>
      <c r="C183" s="1">
        <f>Cotton_Buds[[#This Row],[Желано количество]]</f>
        <v>50</v>
      </c>
      <c r="D183" s="27">
        <v>45793</v>
      </c>
      <c r="E183" s="1" t="s">
        <v>595</v>
      </c>
      <c r="F183" s="33">
        <v>45777.198738425926</v>
      </c>
      <c r="G183" s="1" t="s">
        <v>827</v>
      </c>
      <c r="H183" s="39" t="s">
        <v>817</v>
      </c>
      <c r="I183" s="1" t="s">
        <v>104</v>
      </c>
      <c r="J183" s="27"/>
      <c r="K183" s="1"/>
      <c r="L183" s="27"/>
      <c r="M183" s="1"/>
      <c r="N183" s="1">
        <v>3.76</v>
      </c>
      <c r="O183" s="1">
        <f>Cotton_Buds[[#This Row],[Цена за 1 бр. в BGN]]*Cotton_Buds[[#This Row],[Поръчано Количество]]</f>
        <v>188</v>
      </c>
      <c r="P183" s="1"/>
      <c r="Q183" s="1"/>
      <c r="R183" s="1" t="str" cm="1">
        <f t="array" ref="R183">_xlfn.SWITCH(S183,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83" s="1"/>
    </row>
    <row r="184" spans="1:19" ht="30">
      <c r="A184" s="1" t="s">
        <v>828</v>
      </c>
      <c r="B184" s="1">
        <v>20</v>
      </c>
      <c r="C184" s="1">
        <f>Cotton_Buds[[#This Row],[Желано количество]]</f>
        <v>20</v>
      </c>
      <c r="D184" s="27">
        <v>45793</v>
      </c>
      <c r="E184" s="1" t="s">
        <v>595</v>
      </c>
      <c r="F184" s="33">
        <v>45777.200590277775</v>
      </c>
      <c r="G184" s="1" t="s">
        <v>827</v>
      </c>
      <c r="H184" s="39" t="s">
        <v>817</v>
      </c>
      <c r="I184" s="1" t="s">
        <v>104</v>
      </c>
      <c r="J184" s="27"/>
      <c r="K184" s="1"/>
      <c r="L184" s="27"/>
      <c r="M184" s="1"/>
      <c r="N184" s="1">
        <v>16.75</v>
      </c>
      <c r="O184" s="1">
        <f>Cotton_Buds[[#This Row],[Цена за 1 бр. в BGN]]*Cotton_Buds[[#This Row],[Поръчано Количество]]</f>
        <v>335</v>
      </c>
      <c r="P184" s="1"/>
      <c r="Q184" s="1"/>
      <c r="R184" s="1" t="str" cm="1">
        <f t="array" ref="R184">_xlfn.SWITCH(S184,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84" s="1"/>
    </row>
    <row r="185" spans="1:19" ht="30">
      <c r="A185" s="1" t="s">
        <v>829</v>
      </c>
      <c r="B185" s="1">
        <v>20</v>
      </c>
      <c r="C185" s="1">
        <f>Cotton_Buds[[#This Row],[Желано количество]]</f>
        <v>20</v>
      </c>
      <c r="D185" s="27">
        <v>45793</v>
      </c>
      <c r="E185" s="1" t="s">
        <v>595</v>
      </c>
      <c r="F185" s="33">
        <v>45777.204942129632</v>
      </c>
      <c r="G185" s="1" t="s">
        <v>827</v>
      </c>
      <c r="H185" s="39" t="s">
        <v>817</v>
      </c>
      <c r="I185" s="1" t="s">
        <v>104</v>
      </c>
      <c r="J185" s="27"/>
      <c r="K185" s="1"/>
      <c r="L185" s="27"/>
      <c r="M185" s="1"/>
      <c r="N185" s="1">
        <v>16.75</v>
      </c>
      <c r="O185" s="1">
        <f>Cotton_Buds[[#This Row],[Цена за 1 бр. в BGN]]*Cotton_Buds[[#This Row],[Поръчано Количество]]</f>
        <v>335</v>
      </c>
      <c r="P185" s="1"/>
      <c r="Q185" s="1"/>
      <c r="R185" s="1" t="str" cm="1">
        <f t="array" ref="R185">_xlfn.SWITCH(S185,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85" s="1"/>
    </row>
    <row r="186" spans="1:19" ht="30">
      <c r="A186" s="1" t="s">
        <v>830</v>
      </c>
      <c r="B186" s="1">
        <v>20</v>
      </c>
      <c r="C186" s="1">
        <f>Cotton_Buds[[#This Row],[Желано количество]]</f>
        <v>20</v>
      </c>
      <c r="D186" s="27">
        <v>45793</v>
      </c>
      <c r="E186" s="1" t="s">
        <v>595</v>
      </c>
      <c r="F186" s="33">
        <v>45777.205682870372</v>
      </c>
      <c r="G186" s="1" t="s">
        <v>827</v>
      </c>
      <c r="H186" s="39" t="s">
        <v>817</v>
      </c>
      <c r="I186" s="1" t="s">
        <v>104</v>
      </c>
      <c r="J186" s="27"/>
      <c r="K186" s="1"/>
      <c r="L186" s="27"/>
      <c r="M186" s="1"/>
      <c r="N186" s="1">
        <v>21.72</v>
      </c>
      <c r="O186" s="1">
        <f>Cotton_Buds[[#This Row],[Цена за 1 бр. в BGN]]*Cotton_Buds[[#This Row],[Поръчано Количество]]</f>
        <v>434.4</v>
      </c>
      <c r="P186" s="1"/>
      <c r="Q186" s="1"/>
      <c r="R186" s="1" t="str" cm="1">
        <f t="array" ref="R186">_xlfn.SWITCH(S186,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86" s="1"/>
    </row>
    <row r="187" spans="1:19" ht="30">
      <c r="A187" s="1" t="s">
        <v>831</v>
      </c>
      <c r="B187" s="1">
        <v>40</v>
      </c>
      <c r="C187" s="1">
        <f>Cotton_Buds[[#This Row],[Желано количество]]</f>
        <v>40</v>
      </c>
      <c r="D187" s="27">
        <v>45793</v>
      </c>
      <c r="E187" s="1" t="s">
        <v>595</v>
      </c>
      <c r="F187" s="33">
        <v>45777.207465277781</v>
      </c>
      <c r="G187" s="1" t="s">
        <v>827</v>
      </c>
      <c r="H187" s="39" t="s">
        <v>817</v>
      </c>
      <c r="I187" s="1" t="s">
        <v>104</v>
      </c>
      <c r="J187" s="27"/>
      <c r="K187" s="1"/>
      <c r="L187" s="27"/>
      <c r="M187" s="1"/>
      <c r="N187" s="1">
        <v>21.72</v>
      </c>
      <c r="O187" s="1">
        <f>Cotton_Buds[[#This Row],[Цена за 1 бр. в BGN]]*Cotton_Buds[[#This Row],[Поръчано Количество]]</f>
        <v>868.8</v>
      </c>
      <c r="P187" s="1"/>
      <c r="Q187" s="1"/>
      <c r="R187" s="1" t="str" cm="1">
        <f t="array" ref="R187">_xlfn.SWITCH(S187,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87" s="1"/>
    </row>
    <row r="188" spans="1:19" ht="30">
      <c r="A188" s="1" t="s">
        <v>832</v>
      </c>
      <c r="B188" s="1">
        <v>40</v>
      </c>
      <c r="C188" s="1">
        <v>50</v>
      </c>
      <c r="D188" s="27">
        <v>45793</v>
      </c>
      <c r="E188" s="1" t="s">
        <v>595</v>
      </c>
      <c r="F188" s="33">
        <v>45777.208229166667</v>
      </c>
      <c r="G188" s="1" t="s">
        <v>827</v>
      </c>
      <c r="H188" s="39" t="s">
        <v>817</v>
      </c>
      <c r="I188" s="1" t="s">
        <v>104</v>
      </c>
      <c r="J188" s="27"/>
      <c r="K188" s="1"/>
      <c r="L188" s="27"/>
      <c r="M188" s="1"/>
      <c r="N188" s="1">
        <v>14.25</v>
      </c>
      <c r="O188" s="1">
        <f>Cotton_Buds[[#This Row],[Цена за 1 бр. в BGN]]*Cotton_Buds[[#This Row],[Поръчано Количество]]</f>
        <v>712.5</v>
      </c>
      <c r="P188" s="1"/>
      <c r="Q188" s="1"/>
      <c r="R188" s="1" t="str" cm="1">
        <f t="array" ref="R188">_xlfn.SWITCH(S188,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88" s="1"/>
    </row>
    <row r="189" spans="1:19" ht="30">
      <c r="A189" s="1" t="s">
        <v>833</v>
      </c>
      <c r="B189" s="1">
        <v>40</v>
      </c>
      <c r="C189" s="1">
        <f>Cotton_Buds[[#This Row],[Желано количество]]</f>
        <v>40</v>
      </c>
      <c r="D189" s="27">
        <v>45793</v>
      </c>
      <c r="E189" s="1" t="s">
        <v>595</v>
      </c>
      <c r="F189" s="33">
        <v>45777.208715277775</v>
      </c>
      <c r="G189" s="1" t="s">
        <v>827</v>
      </c>
      <c r="H189" s="39" t="s">
        <v>817</v>
      </c>
      <c r="I189" s="1" t="s">
        <v>104</v>
      </c>
      <c r="J189" s="27"/>
      <c r="K189" s="1"/>
      <c r="L189" s="27"/>
      <c r="M189" s="1"/>
      <c r="N189" s="1">
        <v>16.75</v>
      </c>
      <c r="O189" s="1">
        <f>Cotton_Buds[[#This Row],[Цена за 1 бр. в BGN]]*Cotton_Buds[[#This Row],[Поръчано Количество]]</f>
        <v>670</v>
      </c>
      <c r="P189" s="1"/>
      <c r="Q189" s="1"/>
      <c r="R189" s="1" t="str" cm="1">
        <f t="array" ref="R189">_xlfn.SWITCH(S189,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89" s="1"/>
    </row>
    <row r="190" spans="1:19" ht="30">
      <c r="A190" s="1" t="s">
        <v>834</v>
      </c>
      <c r="B190" s="1">
        <v>40</v>
      </c>
      <c r="C190" s="1">
        <v>50</v>
      </c>
      <c r="D190" s="27">
        <v>45793</v>
      </c>
      <c r="E190" s="1" t="s">
        <v>595</v>
      </c>
      <c r="F190" s="33">
        <v>45777.20921296296</v>
      </c>
      <c r="G190" s="1" t="s">
        <v>827</v>
      </c>
      <c r="H190" s="39" t="s">
        <v>817</v>
      </c>
      <c r="I190" s="1" t="s">
        <v>104</v>
      </c>
      <c r="J190" s="27"/>
      <c r="K190" s="1"/>
      <c r="L190" s="27"/>
      <c r="M190" s="1"/>
      <c r="N190" s="1">
        <v>18.399999999999999</v>
      </c>
      <c r="O190" s="1">
        <f>Cotton_Buds[[#This Row],[Цена за 1 бр. в BGN]]*Cotton_Buds[[#This Row],[Поръчано Количество]]</f>
        <v>919.99999999999989</v>
      </c>
      <c r="P190" s="1"/>
      <c r="Q190" s="1"/>
      <c r="R190" s="1" t="str" cm="1">
        <f t="array" ref="R190">_xlfn.SWITCH(S190,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90" s="1"/>
    </row>
    <row r="191" spans="1:19" ht="30">
      <c r="A191" s="1" t="s">
        <v>835</v>
      </c>
      <c r="B191" s="1">
        <v>40</v>
      </c>
      <c r="C191" s="1">
        <f>Cotton_Buds[[#This Row],[Желано количество]]</f>
        <v>40</v>
      </c>
      <c r="D191" s="27">
        <v>45793</v>
      </c>
      <c r="E191" s="1" t="s">
        <v>595</v>
      </c>
      <c r="F191" s="33">
        <v>45777.209560185183</v>
      </c>
      <c r="G191" s="1" t="s">
        <v>827</v>
      </c>
      <c r="H191" s="39" t="s">
        <v>817</v>
      </c>
      <c r="I191" s="1" t="s">
        <v>104</v>
      </c>
      <c r="J191" s="27"/>
      <c r="K191" s="1"/>
      <c r="L191" s="27"/>
      <c r="M191" s="1"/>
      <c r="N191" s="1">
        <v>16.75</v>
      </c>
      <c r="O191" s="1">
        <f>Cotton_Buds[[#This Row],[Цена за 1 бр. в BGN]]*Cotton_Buds[[#This Row],[Поръчано Количество]]</f>
        <v>670</v>
      </c>
      <c r="P191" s="1"/>
      <c r="Q191" s="1"/>
      <c r="R191" s="1" t="str" cm="1">
        <f t="array" ref="R191">_xlfn.SWITCH(S191,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91" s="1"/>
    </row>
    <row r="192" spans="1:19">
      <c r="A192" s="1" t="s">
        <v>836</v>
      </c>
      <c r="B192" s="1">
        <v>2</v>
      </c>
      <c r="C192" s="1"/>
      <c r="D192" s="27">
        <v>45797</v>
      </c>
      <c r="E192" s="1" t="s">
        <v>612</v>
      </c>
      <c r="F192" s="33">
        <v>45797.137777777774</v>
      </c>
      <c r="G192" s="1" t="s">
        <v>22</v>
      </c>
      <c r="H192" s="39"/>
      <c r="I192" s="1" t="s">
        <v>232</v>
      </c>
      <c r="J192" s="27"/>
      <c r="K192" s="1"/>
      <c r="L192" s="27"/>
      <c r="M192" s="1"/>
      <c r="N192" s="1">
        <v>13.99</v>
      </c>
      <c r="O192" s="1">
        <f>Cotton_Buds[[#This Row],[Цена за 1 бр. в BGN]]*Cotton_Buds[[#This Row],[Поръчано Количество]]</f>
        <v>0</v>
      </c>
      <c r="P192" s="1"/>
      <c r="Q192" s="1"/>
      <c r="R192" s="1" t="str" cm="1">
        <f t="array" ref="R192">_xlfn.SWITCH(S192,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92" s="1"/>
    </row>
    <row r="193" spans="1:19" ht="30">
      <c r="A193" s="1" t="s">
        <v>837</v>
      </c>
      <c r="B193" s="1">
        <v>2</v>
      </c>
      <c r="C193" s="1"/>
      <c r="D193" s="27">
        <v>45794</v>
      </c>
      <c r="E193" s="1" t="s">
        <v>63</v>
      </c>
      <c r="F193" s="33">
        <v>45785.287638888891</v>
      </c>
      <c r="G193" s="1" t="s">
        <v>22</v>
      </c>
      <c r="H193" s="39"/>
      <c r="I193" s="1"/>
      <c r="J193" s="27"/>
      <c r="K193" s="1"/>
      <c r="L193" s="27"/>
      <c r="M193" s="1"/>
      <c r="N193" s="1"/>
      <c r="O193" s="1">
        <f>Cotton_Buds[[#This Row],[Цена за 1 бр. в BGN]]*Cotton_Buds[[#This Row],[Поръчано Количество]]</f>
        <v>0</v>
      </c>
      <c r="P193" s="1"/>
      <c r="Q193" s="1"/>
      <c r="R193" s="1" t="str" cm="1">
        <f t="array" ref="R193">_xlfn.SWITCH(S193,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93" s="1"/>
    </row>
    <row r="194" spans="1:19" ht="30">
      <c r="A194" s="1" t="s">
        <v>838</v>
      </c>
      <c r="B194" s="1">
        <v>50</v>
      </c>
      <c r="C194" s="1">
        <v>50</v>
      </c>
      <c r="D194" s="27">
        <v>45791</v>
      </c>
      <c r="E194" s="1" t="s">
        <v>619</v>
      </c>
      <c r="F194" s="33">
        <v>45786.19085648148</v>
      </c>
      <c r="G194" s="1" t="s">
        <v>22</v>
      </c>
      <c r="H194" s="39">
        <v>177751</v>
      </c>
      <c r="I194" s="1" t="s">
        <v>58</v>
      </c>
      <c r="J194" s="27">
        <v>45835</v>
      </c>
      <c r="K194" s="1"/>
      <c r="L194" s="27">
        <v>45835</v>
      </c>
      <c r="M194" s="1">
        <v>16</v>
      </c>
      <c r="N194" s="1">
        <v>1.54</v>
      </c>
      <c r="O194" s="1">
        <f>Cotton_Buds[[#This Row],[Цена за 1 бр. в BGN]]*Cotton_Buds[[#This Row],[Поръчано Количество]]</f>
        <v>77</v>
      </c>
      <c r="P194" s="1"/>
      <c r="Q194" s="1"/>
      <c r="R194" s="1" t="str" cm="1">
        <f t="array" ref="R194">_xlfn.SWITCH(S194,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94" s="1"/>
    </row>
    <row r="195" spans="1:19" ht="30">
      <c r="A195" s="1" t="s">
        <v>839</v>
      </c>
      <c r="B195" s="1">
        <v>50</v>
      </c>
      <c r="C195" s="1">
        <v>50</v>
      </c>
      <c r="D195" s="27">
        <v>45791</v>
      </c>
      <c r="E195" s="1" t="s">
        <v>619</v>
      </c>
      <c r="F195" s="33">
        <v>45786.191296296296</v>
      </c>
      <c r="G195" s="1" t="s">
        <v>22</v>
      </c>
      <c r="H195" s="39">
        <v>177751</v>
      </c>
      <c r="I195" s="1" t="s">
        <v>58</v>
      </c>
      <c r="J195" s="27">
        <v>45835</v>
      </c>
      <c r="K195" s="1"/>
      <c r="L195" s="27"/>
      <c r="M195" s="1"/>
      <c r="N195" s="1">
        <v>1.81</v>
      </c>
      <c r="O195" s="1">
        <f>Cotton_Buds[[#This Row],[Цена за 1 бр. в BGN]]*Cotton_Buds[[#This Row],[Поръчано Количество]]</f>
        <v>90.5</v>
      </c>
      <c r="P195" s="1"/>
      <c r="Q195" s="1"/>
      <c r="R195" s="1" t="str" cm="1">
        <f t="array" ref="R195">_xlfn.SWITCH(S195,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95" s="1"/>
    </row>
    <row r="196" spans="1:19" ht="30">
      <c r="A196" s="1" t="s">
        <v>840</v>
      </c>
      <c r="B196" s="1">
        <v>50</v>
      </c>
      <c r="C196" s="1">
        <v>50</v>
      </c>
      <c r="D196" s="27">
        <v>45791</v>
      </c>
      <c r="E196" s="1" t="s">
        <v>619</v>
      </c>
      <c r="F196" s="33">
        <v>45786.191562499997</v>
      </c>
      <c r="G196" s="1" t="s">
        <v>22</v>
      </c>
      <c r="H196" s="39">
        <v>177751</v>
      </c>
      <c r="I196" s="1" t="s">
        <v>58</v>
      </c>
      <c r="J196" s="27">
        <v>45835</v>
      </c>
      <c r="K196" s="1"/>
      <c r="L196" s="27"/>
      <c r="M196" s="1"/>
      <c r="N196" s="1">
        <v>1.87</v>
      </c>
      <c r="O196" s="1">
        <f>Cotton_Buds[[#This Row],[Цена за 1 бр. в BGN]]*Cotton_Buds[[#This Row],[Поръчано Количество]]</f>
        <v>93.5</v>
      </c>
      <c r="P196" s="1"/>
      <c r="Q196" s="1"/>
      <c r="R196" s="1" t="str" cm="1">
        <f t="array" ref="R196">_xlfn.SWITCH(S196,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96" s="1"/>
    </row>
    <row r="197" spans="1:19" ht="30">
      <c r="A197" s="1" t="s">
        <v>841</v>
      </c>
      <c r="B197" s="1">
        <v>50</v>
      </c>
      <c r="C197" s="1">
        <v>50</v>
      </c>
      <c r="D197" s="27">
        <v>45791</v>
      </c>
      <c r="E197" s="1" t="s">
        <v>619</v>
      </c>
      <c r="F197" s="33">
        <v>45786.191828703704</v>
      </c>
      <c r="G197" s="1" t="s">
        <v>22</v>
      </c>
      <c r="H197" s="39">
        <v>177751</v>
      </c>
      <c r="I197" s="1" t="s">
        <v>58</v>
      </c>
      <c r="J197" s="27">
        <v>45835</v>
      </c>
      <c r="K197" s="1"/>
      <c r="L197" s="27"/>
      <c r="M197" s="1"/>
      <c r="N197" s="1">
        <v>1.95</v>
      </c>
      <c r="O197" s="1">
        <f>Cotton_Buds[[#This Row],[Цена за 1 бр. в BGN]]*Cotton_Buds[[#This Row],[Поръчано Количество]]</f>
        <v>97.5</v>
      </c>
      <c r="P197" s="1"/>
      <c r="Q197" s="1"/>
      <c r="R197" s="1" t="str" cm="1">
        <f t="array" ref="R197">_xlfn.SWITCH(S197,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97" s="1"/>
    </row>
    <row r="198" spans="1:19" ht="30">
      <c r="A198" s="1" t="s">
        <v>842</v>
      </c>
      <c r="B198" s="1">
        <v>50</v>
      </c>
      <c r="C198" s="1">
        <v>50</v>
      </c>
      <c r="D198" s="27">
        <v>45791</v>
      </c>
      <c r="E198" s="1" t="s">
        <v>619</v>
      </c>
      <c r="F198" s="33">
        <v>45786.192083333335</v>
      </c>
      <c r="G198" s="1" t="s">
        <v>22</v>
      </c>
      <c r="H198" s="39">
        <v>177751</v>
      </c>
      <c r="I198" s="1" t="s">
        <v>58</v>
      </c>
      <c r="J198" s="27">
        <v>45835</v>
      </c>
      <c r="K198" s="1"/>
      <c r="L198" s="27">
        <v>45835</v>
      </c>
      <c r="M198" s="1">
        <v>50</v>
      </c>
      <c r="N198" s="1">
        <v>2.0299999999999998</v>
      </c>
      <c r="O198" s="1">
        <f>Cotton_Buds[[#This Row],[Цена за 1 бр. в BGN]]*Cotton_Buds[[#This Row],[Поръчано Количество]]</f>
        <v>101.49999999999999</v>
      </c>
      <c r="P198" s="1"/>
      <c r="Q198" s="1"/>
      <c r="R198" s="1" t="str" cm="1">
        <f t="array" ref="R198">_xlfn.SWITCH(S198,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98" s="1"/>
    </row>
    <row r="199" spans="1:19" ht="30">
      <c r="A199" s="1" t="s">
        <v>843</v>
      </c>
      <c r="B199" s="1">
        <v>20</v>
      </c>
      <c r="C199" s="1">
        <v>20</v>
      </c>
      <c r="D199" s="27">
        <v>45793</v>
      </c>
      <c r="E199" s="1" t="s">
        <v>595</v>
      </c>
      <c r="F199" s="33">
        <v>45789.248425925929</v>
      </c>
      <c r="G199" s="1" t="s">
        <v>22</v>
      </c>
      <c r="H199" s="39">
        <v>177751</v>
      </c>
      <c r="I199" s="1" t="s">
        <v>58</v>
      </c>
      <c r="J199" s="27">
        <v>45835</v>
      </c>
      <c r="K199" s="1"/>
      <c r="L199" s="27">
        <v>45835</v>
      </c>
      <c r="M199" s="1">
        <v>20</v>
      </c>
      <c r="N199" s="1">
        <f>100/109.32</f>
        <v>0.91474570069520678</v>
      </c>
      <c r="O199" s="1">
        <f>Cotton_Buds[[#This Row],[Цена за 1 бр. в BGN]]*Cotton_Buds[[#This Row],[Поръчано Количество]]</f>
        <v>18.294914013904137</v>
      </c>
      <c r="P199" s="1"/>
      <c r="Q199" s="1"/>
      <c r="R199" s="1" t="str" cm="1">
        <f t="array" ref="R199">_xlfn.SWITCH(S199,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99" s="1"/>
    </row>
    <row r="200" spans="1:19" ht="30">
      <c r="A200" s="1" t="s">
        <v>844</v>
      </c>
      <c r="B200" s="1">
        <v>20</v>
      </c>
      <c r="C200" s="1">
        <v>20</v>
      </c>
      <c r="D200" s="27">
        <v>45793</v>
      </c>
      <c r="E200" s="1" t="s">
        <v>595</v>
      </c>
      <c r="F200" s="33">
        <v>45789.248576388891</v>
      </c>
      <c r="G200" s="1" t="s">
        <v>22</v>
      </c>
      <c r="H200" s="39">
        <v>177751</v>
      </c>
      <c r="I200" s="1" t="s">
        <v>58</v>
      </c>
      <c r="J200" s="27">
        <v>45835</v>
      </c>
      <c r="K200" s="1"/>
      <c r="L200" s="27">
        <v>45835</v>
      </c>
      <c r="M200" s="1">
        <v>20</v>
      </c>
      <c r="N200" s="1">
        <f>118.43/100</f>
        <v>1.1843000000000001</v>
      </c>
      <c r="O200" s="1">
        <f>Cotton_Buds[[#This Row],[Цена за 1 бр. в BGN]]*Cotton_Buds[[#This Row],[Поръчано Количество]]</f>
        <v>23.686000000000003</v>
      </c>
      <c r="P200" s="1"/>
      <c r="Q200" s="1"/>
      <c r="R200" s="1" t="str" cm="1">
        <f t="array" ref="R200">_xlfn.SWITCH(S200,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00" s="1"/>
    </row>
    <row r="201" spans="1:19" ht="30">
      <c r="A201" s="1" t="s">
        <v>845</v>
      </c>
      <c r="B201" s="1">
        <v>20</v>
      </c>
      <c r="C201" s="1">
        <v>20</v>
      </c>
      <c r="D201" s="27">
        <v>45793</v>
      </c>
      <c r="E201" s="1" t="s">
        <v>595</v>
      </c>
      <c r="F201" s="33">
        <v>45789.248726851853</v>
      </c>
      <c r="G201" s="1" t="s">
        <v>22</v>
      </c>
      <c r="H201" s="39">
        <v>177751</v>
      </c>
      <c r="I201" s="1" t="s">
        <v>58</v>
      </c>
      <c r="J201" s="27">
        <v>45835</v>
      </c>
      <c r="K201" s="1"/>
      <c r="L201" s="27">
        <v>45835</v>
      </c>
      <c r="M201" s="1">
        <v>20</v>
      </c>
      <c r="N201" s="1">
        <f>148.04/100</f>
        <v>1.4803999999999999</v>
      </c>
      <c r="O201" s="1">
        <f>Cotton_Buds[[#This Row],[Цена за 1 бр. в BGN]]*Cotton_Buds[[#This Row],[Поръчано Количество]]</f>
        <v>29.607999999999997</v>
      </c>
      <c r="P201" s="1"/>
      <c r="Q201" s="1"/>
      <c r="R201" s="1" t="str" cm="1">
        <f t="array" ref="R201">_xlfn.SWITCH(S201,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01" s="1"/>
    </row>
    <row r="202" spans="1:19" ht="18.75" customHeight="1">
      <c r="A202" s="1" t="s">
        <v>846</v>
      </c>
      <c r="B202" s="1">
        <v>20</v>
      </c>
      <c r="C202" s="1">
        <v>20</v>
      </c>
      <c r="D202" s="27">
        <v>45793</v>
      </c>
      <c r="E202" s="1" t="s">
        <v>595</v>
      </c>
      <c r="F202" s="33">
        <v>45789.248865740738</v>
      </c>
      <c r="G202" s="1" t="s">
        <v>22</v>
      </c>
      <c r="H202" s="39">
        <v>177751</v>
      </c>
      <c r="I202" s="1" t="s">
        <v>58</v>
      </c>
      <c r="J202" s="27">
        <v>45835</v>
      </c>
      <c r="K202" s="1"/>
      <c r="L202" s="27">
        <v>45835</v>
      </c>
      <c r="M202" s="1">
        <v>13</v>
      </c>
      <c r="N202" s="1">
        <f>209.52/100</f>
        <v>2.0952000000000002</v>
      </c>
      <c r="O202" s="1">
        <f>Cotton_Buds[[#This Row],[Цена за 1 бр. в BGN]]*Cotton_Buds[[#This Row],[Поръчано Количество]]</f>
        <v>41.904000000000003</v>
      </c>
      <c r="P202" s="1"/>
      <c r="Q202" s="1"/>
      <c r="R202" s="1" t="str" cm="1">
        <f t="array" ref="R202">_xlfn.SWITCH(S202,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02" s="1"/>
    </row>
    <row r="203" spans="1:19" ht="30">
      <c r="A203" s="1" t="s">
        <v>847</v>
      </c>
      <c r="B203" s="1">
        <v>20</v>
      </c>
      <c r="C203" s="1">
        <v>20</v>
      </c>
      <c r="D203" s="27">
        <v>45793</v>
      </c>
      <c r="E203" s="1" t="s">
        <v>595</v>
      </c>
      <c r="F203" s="33">
        <v>45789.249016203707</v>
      </c>
      <c r="G203" s="1" t="s">
        <v>22</v>
      </c>
      <c r="H203" s="39">
        <v>177751</v>
      </c>
      <c r="I203" s="1" t="s">
        <v>58</v>
      </c>
      <c r="J203" s="27">
        <v>45835</v>
      </c>
      <c r="K203" s="1"/>
      <c r="L203" s="27">
        <v>45835</v>
      </c>
      <c r="M203" s="1">
        <v>20</v>
      </c>
      <c r="N203" s="1">
        <f>364.39/100</f>
        <v>3.6438999999999999</v>
      </c>
      <c r="O203" s="1">
        <f>Cotton_Buds[[#This Row],[Цена за 1 бр. в BGN]]*Cotton_Buds[[#This Row],[Поръчано Количество]]</f>
        <v>72.878</v>
      </c>
      <c r="P203" s="1"/>
      <c r="Q203" s="1"/>
      <c r="R203" s="1" t="str" cm="1">
        <f t="array" ref="R203">_xlfn.SWITCH(S203,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03" s="1"/>
    </row>
    <row r="204" spans="1:19" ht="30">
      <c r="A204" s="1" t="s">
        <v>848</v>
      </c>
      <c r="B204" s="1">
        <v>20</v>
      </c>
      <c r="C204" s="1">
        <v>20</v>
      </c>
      <c r="D204" s="27">
        <v>45793</v>
      </c>
      <c r="E204" s="1" t="s">
        <v>595</v>
      </c>
      <c r="F204" s="33">
        <v>45789.249374999999</v>
      </c>
      <c r="G204" s="1" t="s">
        <v>22</v>
      </c>
      <c r="H204" s="39">
        <v>177751</v>
      </c>
      <c r="I204" s="1" t="s">
        <v>58</v>
      </c>
      <c r="J204" s="27">
        <v>45835</v>
      </c>
      <c r="K204" s="1"/>
      <c r="L204" s="27">
        <v>45835</v>
      </c>
      <c r="M204" s="1">
        <v>20</v>
      </c>
      <c r="N204" s="1">
        <f>28.55/100</f>
        <v>0.28550000000000003</v>
      </c>
      <c r="O204" s="1">
        <f>Cotton_Buds[[#This Row],[Цена за 1 бр. в BGN]]*Cotton_Buds[[#This Row],[Поръчано Количество]]</f>
        <v>5.7100000000000009</v>
      </c>
      <c r="P204" s="1"/>
      <c r="Q204" s="1"/>
      <c r="R204" s="1" t="str" cm="1">
        <f t="array" ref="R204">_xlfn.SWITCH(S204,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04" s="1"/>
    </row>
    <row r="205" spans="1:19" ht="30">
      <c r="A205" s="1" t="s">
        <v>849</v>
      </c>
      <c r="B205" s="1">
        <v>20</v>
      </c>
      <c r="C205" s="1">
        <v>20</v>
      </c>
      <c r="D205" s="27">
        <v>45793</v>
      </c>
      <c r="E205" s="1" t="s">
        <v>595</v>
      </c>
      <c r="F205" s="33">
        <v>45789.249525462961</v>
      </c>
      <c r="G205" s="1" t="s">
        <v>22</v>
      </c>
      <c r="H205" s="39">
        <v>177751</v>
      </c>
      <c r="I205" s="1" t="s">
        <v>58</v>
      </c>
      <c r="J205" s="27">
        <v>45835</v>
      </c>
      <c r="K205" s="1"/>
      <c r="L205" s="27">
        <v>45835</v>
      </c>
      <c r="M205" s="1">
        <v>20</v>
      </c>
      <c r="N205" s="1">
        <f>30.49/100</f>
        <v>0.3049</v>
      </c>
      <c r="O205" s="1">
        <f>Cotton_Buds[[#This Row],[Цена за 1 бр. в BGN]]*Cotton_Buds[[#This Row],[Поръчано Количество]]</f>
        <v>6.0979999999999999</v>
      </c>
      <c r="P205" s="1"/>
      <c r="Q205" s="1"/>
      <c r="R205" s="1" t="str" cm="1">
        <f t="array" ref="R205">_xlfn.SWITCH(S205,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05" s="1"/>
    </row>
    <row r="206" spans="1:19" ht="30">
      <c r="A206" s="1" t="s">
        <v>850</v>
      </c>
      <c r="B206" s="1">
        <v>20</v>
      </c>
      <c r="C206" s="1">
        <v>20</v>
      </c>
      <c r="D206" s="27">
        <v>45793</v>
      </c>
      <c r="E206" s="1" t="s">
        <v>595</v>
      </c>
      <c r="F206" s="33">
        <v>45789.249675925923</v>
      </c>
      <c r="G206" s="1" t="s">
        <v>22</v>
      </c>
      <c r="H206" s="39">
        <v>177751</v>
      </c>
      <c r="I206" s="1" t="s">
        <v>58</v>
      </c>
      <c r="J206" s="27">
        <v>45835</v>
      </c>
      <c r="K206" s="1"/>
      <c r="L206" s="27">
        <v>45835</v>
      </c>
      <c r="M206" s="1">
        <v>20</v>
      </c>
      <c r="N206" s="1">
        <f>40.43/100</f>
        <v>0.40429999999999999</v>
      </c>
      <c r="O206" s="1">
        <f>Cotton_Buds[[#This Row],[Цена за 1 бр. в BGN]]*Cotton_Buds[[#This Row],[Поръчано Количество]]</f>
        <v>8.0860000000000003</v>
      </c>
      <c r="P206" s="1"/>
      <c r="Q206" s="1"/>
      <c r="R206" s="1" t="str" cm="1">
        <f t="array" ref="R206">_xlfn.SWITCH(S206,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06" s="1"/>
    </row>
    <row r="207" spans="1:19" ht="30">
      <c r="A207" s="1" t="s">
        <v>851</v>
      </c>
      <c r="B207" s="1">
        <v>20</v>
      </c>
      <c r="C207" s="1">
        <v>20</v>
      </c>
      <c r="D207" s="27">
        <v>45793</v>
      </c>
      <c r="E207" s="1" t="s">
        <v>595</v>
      </c>
      <c r="F207" s="33">
        <v>45789.249814814815</v>
      </c>
      <c r="G207" s="1" t="s">
        <v>22</v>
      </c>
      <c r="H207" s="39">
        <v>177751</v>
      </c>
      <c r="I207" s="1" t="s">
        <v>58</v>
      </c>
      <c r="J207" s="27">
        <v>45835</v>
      </c>
      <c r="K207" s="1"/>
      <c r="L207" s="27">
        <v>45835</v>
      </c>
      <c r="M207" s="1">
        <v>20</v>
      </c>
      <c r="N207" s="1">
        <f>55.7/100</f>
        <v>0.55700000000000005</v>
      </c>
      <c r="O207" s="1">
        <f>Cotton_Buds[[#This Row],[Цена за 1 бр. в BGN]]*Cotton_Buds[[#This Row],[Поръчано Количество]]</f>
        <v>11.14</v>
      </c>
      <c r="P207" s="1"/>
      <c r="Q207" s="1"/>
      <c r="R207" s="1" t="str" cm="1">
        <f t="array" ref="R207">_xlfn.SWITCH(S207,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07" s="1"/>
    </row>
    <row r="208" spans="1:19" ht="30">
      <c r="A208" s="1" t="s">
        <v>852</v>
      </c>
      <c r="B208" s="1">
        <v>20</v>
      </c>
      <c r="C208" s="1">
        <v>20</v>
      </c>
      <c r="D208" s="27">
        <v>45793</v>
      </c>
      <c r="E208" s="1" t="s">
        <v>595</v>
      </c>
      <c r="F208" s="33">
        <v>45789.250034722223</v>
      </c>
      <c r="G208" s="1" t="s">
        <v>22</v>
      </c>
      <c r="H208" s="39">
        <v>177751</v>
      </c>
      <c r="I208" s="1" t="s">
        <v>58</v>
      </c>
      <c r="J208" s="27">
        <v>45835</v>
      </c>
      <c r="K208" s="1"/>
      <c r="L208" s="27">
        <v>45835</v>
      </c>
      <c r="M208" s="1">
        <v>20</v>
      </c>
      <c r="N208" s="1">
        <f>111.67/100</f>
        <v>1.1167</v>
      </c>
      <c r="O208" s="1">
        <f>Cotton_Buds[[#This Row],[Цена за 1 бр. в BGN]]*Cotton_Buds[[#This Row],[Поръчано Количество]]</f>
        <v>22.334</v>
      </c>
      <c r="P208" s="1"/>
      <c r="Q208" s="1"/>
      <c r="R208" s="1" t="str" cm="1">
        <f t="array" ref="R208">_xlfn.SWITCH(S208,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08" s="1"/>
    </row>
    <row r="209" spans="1:19" ht="30">
      <c r="A209" s="1" t="s">
        <v>853</v>
      </c>
      <c r="B209" s="1">
        <v>20</v>
      </c>
      <c r="C209" s="1"/>
      <c r="D209" s="27">
        <v>45793</v>
      </c>
      <c r="E209" s="1" t="s">
        <v>595</v>
      </c>
      <c r="F209" s="33">
        <v>45789.250567129631</v>
      </c>
      <c r="G209" s="1"/>
      <c r="H209" s="39"/>
      <c r="I209" s="1"/>
      <c r="J209" s="27"/>
      <c r="K209" s="1"/>
      <c r="L209" s="27"/>
      <c r="M209" s="1"/>
      <c r="N209" s="1"/>
      <c r="O209" s="1">
        <f>Cotton_Buds[[#This Row],[Цена за 1 бр. в BGN]]*Cotton_Buds[[#This Row],[Поръчано Количество]]</f>
        <v>0</v>
      </c>
      <c r="P209" s="1"/>
      <c r="Q209" s="1"/>
      <c r="R209" s="1" t="str" cm="1">
        <f t="array" ref="R209">_xlfn.SWITCH(S209,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09" s="1"/>
    </row>
    <row r="210" spans="1:19" ht="30">
      <c r="A210" s="1" t="s">
        <v>854</v>
      </c>
      <c r="B210" s="1">
        <v>10</v>
      </c>
      <c r="C210" s="1"/>
      <c r="D210" s="27">
        <v>45793</v>
      </c>
      <c r="E210" s="1" t="s">
        <v>595</v>
      </c>
      <c r="F210" s="33">
        <v>45789.250949074078</v>
      </c>
      <c r="G210" s="1"/>
      <c r="H210" s="39"/>
      <c r="I210" s="1" t="s">
        <v>104</v>
      </c>
      <c r="J210" s="27"/>
      <c r="K210" s="1"/>
      <c r="L210" s="27"/>
      <c r="M210" s="1"/>
      <c r="N210" s="1"/>
      <c r="O210" s="1">
        <f>Cotton_Buds[[#This Row],[Цена за 1 бр. в BGN]]*Cotton_Buds[[#This Row],[Поръчано Количество]]</f>
        <v>0</v>
      </c>
      <c r="P210" s="1"/>
      <c r="Q210" s="1"/>
      <c r="R210" s="1" t="str" cm="1">
        <f t="array" ref="R210">_xlfn.SWITCH(S210,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10" s="1"/>
    </row>
    <row r="211" spans="1:19">
      <c r="A211" s="1" t="s">
        <v>855</v>
      </c>
      <c r="B211" s="1">
        <v>50</v>
      </c>
      <c r="C211" s="1">
        <v>50</v>
      </c>
      <c r="D211" s="27">
        <v>45800</v>
      </c>
      <c r="E211" s="1" t="s">
        <v>619</v>
      </c>
      <c r="F211" s="33">
        <v>45793.195219907408</v>
      </c>
      <c r="G211" s="1" t="s">
        <v>22</v>
      </c>
      <c r="H211" s="39">
        <v>177751</v>
      </c>
      <c r="I211" s="1" t="s">
        <v>58</v>
      </c>
      <c r="J211" s="27">
        <v>45835</v>
      </c>
      <c r="K211" s="1"/>
      <c r="L211" s="27">
        <v>45835</v>
      </c>
      <c r="M211" s="1">
        <v>50</v>
      </c>
      <c r="N211" s="1">
        <f>0.004</f>
        <v>4.0000000000000001E-3</v>
      </c>
      <c r="O211" s="1">
        <f>Cotton_Buds[[#This Row],[Цена за 1 бр. в BGN]]*Cotton_Buds[[#This Row],[Поръчано Количество]]</f>
        <v>0.2</v>
      </c>
      <c r="P211" s="1"/>
      <c r="Q211" s="1"/>
      <c r="R211" s="1" t="str" cm="1">
        <f t="array" ref="R211">_xlfn.SWITCH(S211,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11" s="1"/>
    </row>
    <row r="212" spans="1:19">
      <c r="A212" s="1" t="s">
        <v>856</v>
      </c>
      <c r="B212" s="1">
        <v>50</v>
      </c>
      <c r="C212" s="1">
        <v>50</v>
      </c>
      <c r="D212" s="27">
        <v>45800</v>
      </c>
      <c r="E212" s="1" t="s">
        <v>619</v>
      </c>
      <c r="F212" s="33">
        <v>45793.195590277777</v>
      </c>
      <c r="G212" s="1" t="s">
        <v>22</v>
      </c>
      <c r="H212" s="39">
        <v>177751</v>
      </c>
      <c r="I212" s="1" t="s">
        <v>58</v>
      </c>
      <c r="J212" s="27">
        <v>45835</v>
      </c>
      <c r="K212" s="1"/>
      <c r="L212" s="27">
        <v>45835</v>
      </c>
      <c r="M212" s="1">
        <v>50</v>
      </c>
      <c r="N212" s="1">
        <f>2.08/100</f>
        <v>2.0799999999999999E-2</v>
      </c>
      <c r="O212" s="1">
        <f>Cotton_Buds[[#This Row],[Цена за 1 бр. в BGN]]*Cotton_Buds[[#This Row],[Поръчано Количество]]</f>
        <v>1.04</v>
      </c>
      <c r="P212" s="1"/>
      <c r="Q212" s="1"/>
      <c r="R212" s="1" t="str" cm="1">
        <f t="array" ref="R212">_xlfn.SWITCH(S212,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12" s="1"/>
    </row>
    <row r="213" spans="1:19" ht="30">
      <c r="A213" s="1" t="s">
        <v>857</v>
      </c>
      <c r="B213" s="1">
        <v>1</v>
      </c>
      <c r="C213" s="1"/>
      <c r="D213" s="27">
        <v>45800</v>
      </c>
      <c r="E213" s="1" t="s">
        <v>595</v>
      </c>
      <c r="F213" s="33">
        <v>45793.199456018519</v>
      </c>
      <c r="G213" s="1"/>
      <c r="H213" s="39"/>
      <c r="I213" s="1" t="s">
        <v>104</v>
      </c>
      <c r="J213" s="27"/>
      <c r="K213" s="1"/>
      <c r="L213" s="27"/>
      <c r="M213" s="1"/>
      <c r="N213" s="1"/>
      <c r="O213" s="1">
        <f>Cotton_Buds[[#This Row],[Цена за 1 бр. в BGN]]*Cotton_Buds[[#This Row],[Поръчано Количество]]</f>
        <v>0</v>
      </c>
      <c r="P213" s="1"/>
      <c r="Q213" s="1"/>
      <c r="R213" s="1" t="str" cm="1">
        <f t="array" ref="R213">_xlfn.SWITCH(S213,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13" s="1"/>
    </row>
    <row r="214" spans="1:19">
      <c r="A214" s="1" t="s">
        <v>694</v>
      </c>
      <c r="B214" s="1">
        <v>50</v>
      </c>
      <c r="C214" s="1">
        <v>50</v>
      </c>
      <c r="D214" s="27">
        <v>45800</v>
      </c>
      <c r="E214" s="1" t="s">
        <v>619</v>
      </c>
      <c r="F214" s="33">
        <v>45793.19971064815</v>
      </c>
      <c r="G214" s="1" t="s">
        <v>22</v>
      </c>
      <c r="H214" s="39">
        <v>177751</v>
      </c>
      <c r="I214" s="1" t="s">
        <v>58</v>
      </c>
      <c r="J214" s="27">
        <v>45835</v>
      </c>
      <c r="K214" s="1"/>
      <c r="L214" s="27">
        <v>45835</v>
      </c>
      <c r="M214" s="1">
        <v>50</v>
      </c>
      <c r="N214" s="1">
        <f>0.56/100</f>
        <v>5.6000000000000008E-3</v>
      </c>
      <c r="O214" s="1">
        <f>Cotton_Buds[[#This Row],[Цена за 1 бр. в BGN]]*Cotton_Buds[[#This Row],[Поръчано Количество]]</f>
        <v>0.28000000000000003</v>
      </c>
      <c r="P214" s="1"/>
      <c r="Q214" s="1"/>
      <c r="R214" s="1" t="str" cm="1">
        <f t="array" ref="R214">_xlfn.SWITCH(S214,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14" s="1"/>
    </row>
    <row r="215" spans="1:19">
      <c r="A215" s="1" t="s">
        <v>858</v>
      </c>
      <c r="B215" s="1">
        <v>24</v>
      </c>
      <c r="C215" s="1"/>
      <c r="D215" s="27" t="s">
        <v>859</v>
      </c>
      <c r="E215" s="1" t="s">
        <v>610</v>
      </c>
      <c r="F215" s="33">
        <v>45798.3596412037</v>
      </c>
      <c r="G215" s="1" t="s">
        <v>22</v>
      </c>
      <c r="H215" s="39" t="s">
        <v>860</v>
      </c>
      <c r="I215" s="1" t="s">
        <v>382</v>
      </c>
      <c r="J215" s="27"/>
      <c r="K215" s="1"/>
      <c r="L215" s="27"/>
      <c r="M215" s="1"/>
      <c r="N215" s="1"/>
      <c r="O215" s="1">
        <f>Cotton_Buds[[#This Row],[Цена за 1 бр. в BGN]]*Cotton_Buds[[#This Row],[Поръчано Количество]]</f>
        <v>0</v>
      </c>
      <c r="P215" s="1"/>
      <c r="Q215" s="1"/>
      <c r="R215" s="1" t="str" cm="1">
        <f t="array" ref="R215">_xlfn.SWITCH(S215,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15" s="1"/>
    </row>
    <row r="216" spans="1:19">
      <c r="A216" s="1" t="s">
        <v>861</v>
      </c>
      <c r="B216" s="1">
        <v>5</v>
      </c>
      <c r="C216" s="1"/>
      <c r="D216" s="27">
        <v>45838</v>
      </c>
      <c r="E216" s="1" t="s">
        <v>602</v>
      </c>
      <c r="F216" s="33">
        <v>45811.194745370369</v>
      </c>
      <c r="G216" s="1" t="s">
        <v>22</v>
      </c>
      <c r="H216" s="39" t="s">
        <v>862</v>
      </c>
      <c r="I216" s="1" t="s">
        <v>31</v>
      </c>
      <c r="J216" s="27"/>
      <c r="K216" s="1"/>
      <c r="L216" s="27"/>
      <c r="M216" s="1"/>
      <c r="N216" s="1"/>
      <c r="O216" s="1">
        <f>Cotton_Buds[[#This Row],[Цена за 1 бр. в BGN]]*Cotton_Buds[[#This Row],[Поръчано Количество]]</f>
        <v>0</v>
      </c>
      <c r="P216" s="1"/>
      <c r="Q216" s="1"/>
      <c r="R216" s="1" t="str" cm="1">
        <f t="array" ref="R216">_xlfn.SWITCH(S216,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16" s="1"/>
    </row>
    <row r="217" spans="1:19" ht="30">
      <c r="A217" s="1" t="s">
        <v>863</v>
      </c>
      <c r="B217" s="1">
        <v>2</v>
      </c>
      <c r="C217" s="1"/>
      <c r="D217" s="27">
        <v>45838</v>
      </c>
      <c r="E217" s="1" t="s">
        <v>595</v>
      </c>
      <c r="F217" s="33">
        <v>45811.25335648148</v>
      </c>
      <c r="G217" s="1" t="s">
        <v>42</v>
      </c>
      <c r="H217" s="39" t="s">
        <v>710</v>
      </c>
      <c r="I217" s="1" t="s">
        <v>711</v>
      </c>
      <c r="J217" s="27"/>
      <c r="K217" s="1"/>
      <c r="L217" s="27"/>
      <c r="M217" s="1"/>
      <c r="N217" s="1"/>
      <c r="O217" s="1">
        <f>Cotton_Buds[[#This Row],[Цена за 1 бр. в BGN]]*Cotton_Buds[[#This Row],[Поръчано Количество]]</f>
        <v>0</v>
      </c>
      <c r="P217" s="1"/>
      <c r="Q217" s="1"/>
      <c r="R217" s="1" t="str" cm="1">
        <f t="array" ref="R217">_xlfn.SWITCH(S217,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17" s="1"/>
    </row>
    <row r="218" spans="1:19" ht="30">
      <c r="A218" s="1" t="s">
        <v>864</v>
      </c>
      <c r="B218" s="1">
        <v>3</v>
      </c>
      <c r="C218" s="1"/>
      <c r="D218" s="27">
        <v>45835</v>
      </c>
      <c r="E218" s="1" t="s">
        <v>595</v>
      </c>
      <c r="F218" s="33">
        <v>45826.239953703705</v>
      </c>
      <c r="G218" s="1"/>
      <c r="H218" s="39"/>
      <c r="I218" s="1"/>
      <c r="J218" s="27"/>
      <c r="K218" s="1"/>
      <c r="L218" s="27"/>
      <c r="M218" s="1"/>
      <c r="N218" s="1"/>
      <c r="O218" s="1">
        <f>Cotton_Buds[[#This Row],[Цена за 1 бр. в BGN]]*Cotton_Buds[[#This Row],[Поръчано Количество]]</f>
        <v>0</v>
      </c>
      <c r="P218" s="1"/>
      <c r="Q218" s="1"/>
      <c r="R218" s="1" t="str" cm="1">
        <f t="array" ref="R218">_xlfn.SWITCH(S218,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18" s="1"/>
    </row>
    <row r="219" spans="1:19" ht="30">
      <c r="A219" s="1" t="s">
        <v>865</v>
      </c>
      <c r="B219" s="1">
        <v>15</v>
      </c>
      <c r="C219" s="1"/>
      <c r="D219" s="27">
        <v>45869</v>
      </c>
      <c r="E219" s="1" t="s">
        <v>595</v>
      </c>
      <c r="F219" s="33">
        <v>45831.307685185187</v>
      </c>
      <c r="G219" s="1" t="s">
        <v>22</v>
      </c>
      <c r="H219" s="39" t="s">
        <v>866</v>
      </c>
      <c r="I219" s="1" t="s">
        <v>867</v>
      </c>
      <c r="J219" s="27"/>
      <c r="K219" s="1"/>
      <c r="L219" s="27"/>
      <c r="M219" s="1"/>
      <c r="N219" s="1">
        <f>15*1.95568</f>
        <v>29.3352</v>
      </c>
      <c r="O219" s="1">
        <f>Cotton_Buds[[#This Row],[Цена за 1 бр. в BGN]]*Cotton_Buds[[#This Row],[Поръчано Количество]]</f>
        <v>0</v>
      </c>
      <c r="P219" s="1"/>
      <c r="Q219" s="1"/>
      <c r="R219" s="1" t="str" cm="1">
        <f t="array" ref="R219">_xlfn.SWITCH(S219,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19" s="1"/>
    </row>
    <row r="220" spans="1:19" ht="30">
      <c r="A220" s="1" t="s">
        <v>868</v>
      </c>
      <c r="B220" s="1">
        <v>10</v>
      </c>
      <c r="C220" s="1">
        <v>10</v>
      </c>
      <c r="D220" s="27">
        <v>45821</v>
      </c>
      <c r="E220" s="1" t="s">
        <v>595</v>
      </c>
      <c r="F220" s="33">
        <v>45832.456805555557</v>
      </c>
      <c r="G220" s="1" t="s">
        <v>22</v>
      </c>
      <c r="H220" s="39" t="s">
        <v>676</v>
      </c>
      <c r="I220" s="1" t="s">
        <v>677</v>
      </c>
      <c r="J220" s="27"/>
      <c r="K220" s="1"/>
      <c r="L220" s="27"/>
      <c r="M220" s="1">
        <v>10</v>
      </c>
      <c r="N220" s="1">
        <v>62.076000000000001</v>
      </c>
      <c r="O220" s="1">
        <f>Cotton_Buds[[#This Row],[Цена за 1 бр. в BGN]]*Cotton_Buds[[#This Row],[Поръчано Количество]]</f>
        <v>620.76</v>
      </c>
      <c r="P220" s="1"/>
      <c r="Q220" s="1"/>
      <c r="R220" s="1" t="str" cm="1">
        <f t="array" ref="R220">_xlfn.SWITCH(S220,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20" s="1"/>
    </row>
    <row r="221" spans="1:19" ht="30">
      <c r="A221" s="1" t="s">
        <v>869</v>
      </c>
      <c r="B221" s="1">
        <v>5</v>
      </c>
      <c r="C221" s="1">
        <v>5</v>
      </c>
      <c r="D221" s="27">
        <v>45869</v>
      </c>
      <c r="E221" s="1" t="s">
        <v>595</v>
      </c>
      <c r="F221" s="33">
        <v>45833.234178240738</v>
      </c>
      <c r="G221" s="1" t="s">
        <v>22</v>
      </c>
      <c r="H221" s="39" t="s">
        <v>870</v>
      </c>
      <c r="I221" s="1" t="s">
        <v>104</v>
      </c>
      <c r="J221" s="27">
        <v>45840</v>
      </c>
      <c r="K221" s="1" t="s">
        <v>871</v>
      </c>
      <c r="L221" s="27">
        <v>45840</v>
      </c>
      <c r="M221" s="1">
        <v>5</v>
      </c>
      <c r="N221" s="1">
        <v>96.47</v>
      </c>
      <c r="O221" s="1">
        <f>Cotton_Buds[[#This Row],[Цена за 1 бр. в BGN]]*Cotton_Buds[[#This Row],[Поръчано Количество]]</f>
        <v>482.35</v>
      </c>
      <c r="P221" s="1"/>
      <c r="Q221" s="1"/>
      <c r="R221" s="1" t="str" cm="1">
        <f t="array" ref="R221">_xlfn.SWITCH(S221,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21" s="1"/>
    </row>
    <row r="222" spans="1:19" ht="30">
      <c r="A222" s="1" t="s">
        <v>872</v>
      </c>
      <c r="B222" s="1">
        <v>5</v>
      </c>
      <c r="C222" s="1">
        <v>5</v>
      </c>
      <c r="D222" s="27">
        <v>45869</v>
      </c>
      <c r="E222" s="1" t="s">
        <v>595</v>
      </c>
      <c r="F222" s="33">
        <v>45833.234768518516</v>
      </c>
      <c r="G222" s="1" t="s">
        <v>22</v>
      </c>
      <c r="H222" s="39" t="s">
        <v>870</v>
      </c>
      <c r="I222" s="1" t="s">
        <v>104</v>
      </c>
      <c r="J222" s="27">
        <v>45840</v>
      </c>
      <c r="K222" s="1" t="s">
        <v>871</v>
      </c>
      <c r="L222" s="27">
        <v>45840</v>
      </c>
      <c r="M222" s="1">
        <v>5</v>
      </c>
      <c r="N222" s="1">
        <v>86.88</v>
      </c>
      <c r="O222" s="1">
        <f>Cotton_Buds[[#This Row],[Цена за 1 бр. в BGN]]*Cotton_Buds[[#This Row],[Поръчано Количество]]</f>
        <v>434.4</v>
      </c>
      <c r="P222" s="1"/>
      <c r="Q222" s="1"/>
      <c r="R222" s="1" t="str" cm="1">
        <f t="array" ref="R222">_xlfn.SWITCH(S222,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22" s="1"/>
    </row>
    <row r="223" spans="1:19">
      <c r="A223" s="1" t="s">
        <v>873</v>
      </c>
      <c r="B223" s="1">
        <v>50</v>
      </c>
      <c r="C223" s="1">
        <v>50</v>
      </c>
      <c r="D223" s="27">
        <v>45835</v>
      </c>
      <c r="E223" s="1" t="s">
        <v>619</v>
      </c>
      <c r="F223" s="33">
        <v>45833.313020833331</v>
      </c>
      <c r="G223" s="1" t="s">
        <v>22</v>
      </c>
      <c r="H223" s="39">
        <v>177751</v>
      </c>
      <c r="I223" s="1" t="s">
        <v>58</v>
      </c>
      <c r="J223" s="27">
        <v>45835</v>
      </c>
      <c r="K223" s="1"/>
      <c r="L223" s="27">
        <v>45835</v>
      </c>
      <c r="M223" s="1">
        <v>50</v>
      </c>
      <c r="N223" s="1">
        <f>6.75/100</f>
        <v>6.7500000000000004E-2</v>
      </c>
      <c r="O223" s="1">
        <f>Cotton_Buds[[#This Row],[Цена за 1 бр. в BGN]]*Cotton_Buds[[#This Row],[Поръчано Количество]]</f>
        <v>3.375</v>
      </c>
      <c r="P223" s="1"/>
      <c r="Q223" s="1"/>
      <c r="R223" s="1" t="str" cm="1">
        <f t="array" ref="R223">_xlfn.SWITCH(S223,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23" s="1"/>
    </row>
    <row r="224" spans="1:19">
      <c r="A224" s="1" t="s">
        <v>874</v>
      </c>
      <c r="B224" s="1">
        <v>50</v>
      </c>
      <c r="C224" s="1">
        <v>50</v>
      </c>
      <c r="D224" s="27">
        <v>45835</v>
      </c>
      <c r="E224" s="1" t="s">
        <v>619</v>
      </c>
      <c r="F224" s="33">
        <v>45833.31349537037</v>
      </c>
      <c r="G224" s="1" t="s">
        <v>22</v>
      </c>
      <c r="H224" s="39">
        <v>177751</v>
      </c>
      <c r="I224" s="1" t="s">
        <v>58</v>
      </c>
      <c r="J224" s="27">
        <v>45835</v>
      </c>
      <c r="K224" s="1"/>
      <c r="L224" s="27">
        <v>45835</v>
      </c>
      <c r="M224" s="1">
        <v>50</v>
      </c>
      <c r="N224" s="1">
        <f>9.19/100</f>
        <v>9.1899999999999996E-2</v>
      </c>
      <c r="O224" s="1">
        <f>Cotton_Buds[[#This Row],[Цена за 1 бр. в BGN]]*Cotton_Buds[[#This Row],[Поръчано Количество]]</f>
        <v>4.5949999999999998</v>
      </c>
      <c r="P224" s="1"/>
      <c r="Q224" s="1"/>
      <c r="R224" s="1" t="str" cm="1">
        <f t="array" ref="R224">_xlfn.SWITCH(S224,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24" s="1"/>
    </row>
    <row r="225" spans="1:19">
      <c r="A225" s="1" t="s">
        <v>875</v>
      </c>
      <c r="B225" s="1">
        <v>50</v>
      </c>
      <c r="C225" s="1">
        <v>50</v>
      </c>
      <c r="D225" s="27">
        <v>45835</v>
      </c>
      <c r="E225" s="1" t="s">
        <v>619</v>
      </c>
      <c r="F225" s="33">
        <v>45833.313715277778</v>
      </c>
      <c r="G225" s="1" t="s">
        <v>22</v>
      </c>
      <c r="H225" s="39">
        <v>177751</v>
      </c>
      <c r="I225" s="1" t="s">
        <v>58</v>
      </c>
      <c r="J225" s="27">
        <v>45835</v>
      </c>
      <c r="K225" s="1"/>
      <c r="L225" s="27">
        <v>45835</v>
      </c>
      <c r="M225" s="1">
        <v>50</v>
      </c>
      <c r="N225" s="1">
        <f>9.75/100</f>
        <v>9.7500000000000003E-2</v>
      </c>
      <c r="O225" s="1">
        <f>Cotton_Buds[[#This Row],[Цена за 1 бр. в BGN]]*Cotton_Buds[[#This Row],[Поръчано Количество]]</f>
        <v>4.875</v>
      </c>
      <c r="P225" s="1"/>
      <c r="Q225" s="1"/>
      <c r="R225" s="1" t="str" cm="1">
        <f t="array" ref="R225">_xlfn.SWITCH(S225,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25" s="1"/>
    </row>
    <row r="226" spans="1:19">
      <c r="A226" s="1" t="s">
        <v>876</v>
      </c>
      <c r="B226" s="1">
        <v>50</v>
      </c>
      <c r="C226" s="1">
        <v>50</v>
      </c>
      <c r="D226" s="27">
        <v>45835</v>
      </c>
      <c r="E226" s="1" t="s">
        <v>619</v>
      </c>
      <c r="F226" s="33">
        <v>45833.31386574074</v>
      </c>
      <c r="G226" s="1" t="s">
        <v>22</v>
      </c>
      <c r="H226" s="39">
        <v>177751</v>
      </c>
      <c r="I226" s="1" t="s">
        <v>58</v>
      </c>
      <c r="J226" s="27">
        <v>45835</v>
      </c>
      <c r="K226" s="1"/>
      <c r="L226" s="27">
        <v>45835</v>
      </c>
      <c r="M226" s="1">
        <v>50</v>
      </c>
      <c r="N226" s="1">
        <f>11.66/100</f>
        <v>0.1166</v>
      </c>
      <c r="O226" s="1">
        <f>Cotton_Buds[[#This Row],[Цена за 1 бр. в BGN]]*Cotton_Buds[[#This Row],[Поръчано Количество]]</f>
        <v>5.83</v>
      </c>
      <c r="P226" s="1"/>
      <c r="Q226" s="1"/>
      <c r="R226" s="1" t="str" cm="1">
        <f t="array" ref="R226">_xlfn.SWITCH(S226,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26" s="1"/>
    </row>
    <row r="227" spans="1:19">
      <c r="A227" s="1" t="s">
        <v>877</v>
      </c>
      <c r="B227" s="1">
        <v>50</v>
      </c>
      <c r="C227" s="1">
        <v>50</v>
      </c>
      <c r="D227" s="27">
        <v>45835</v>
      </c>
      <c r="E227" s="1" t="s">
        <v>619</v>
      </c>
      <c r="F227" s="33">
        <v>45833.314074074071</v>
      </c>
      <c r="G227" s="1" t="s">
        <v>22</v>
      </c>
      <c r="H227" s="39">
        <v>177751</v>
      </c>
      <c r="I227" s="1" t="s">
        <v>58</v>
      </c>
      <c r="J227" s="27">
        <v>45835</v>
      </c>
      <c r="K227" s="1"/>
      <c r="L227" s="27">
        <v>45835</v>
      </c>
      <c r="M227" s="1">
        <v>50</v>
      </c>
      <c r="N227" s="1">
        <f>11.21/100</f>
        <v>0.11210000000000001</v>
      </c>
      <c r="O227" s="1">
        <f>Cotton_Buds[[#This Row],[Цена за 1 бр. в BGN]]*Cotton_Buds[[#This Row],[Поръчано Количество]]</f>
        <v>5.6050000000000004</v>
      </c>
      <c r="P227" s="1"/>
      <c r="Q227" s="1"/>
      <c r="R227" s="1" t="str" cm="1">
        <f t="array" ref="R227">_xlfn.SWITCH(S227,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27" s="1"/>
    </row>
    <row r="228" spans="1:19">
      <c r="A228" s="1" t="s">
        <v>878</v>
      </c>
      <c r="B228" s="1">
        <v>50</v>
      </c>
      <c r="C228" s="1">
        <v>50</v>
      </c>
      <c r="D228" s="27">
        <v>45835</v>
      </c>
      <c r="E228" s="1" t="s">
        <v>619</v>
      </c>
      <c r="F228" s="33">
        <v>45833.314259259256</v>
      </c>
      <c r="G228" s="1" t="s">
        <v>22</v>
      </c>
      <c r="H228" s="39">
        <v>177751</v>
      </c>
      <c r="I228" s="1" t="s">
        <v>58</v>
      </c>
      <c r="J228" s="27">
        <v>45835</v>
      </c>
      <c r="K228" s="1"/>
      <c r="L228" s="27">
        <v>45835</v>
      </c>
      <c r="M228" s="1">
        <v>50</v>
      </c>
      <c r="N228" s="1">
        <f>11.82/100</f>
        <v>0.1182</v>
      </c>
      <c r="O228" s="1">
        <f>Cotton_Buds[[#This Row],[Цена за 1 бр. в BGN]]*Cotton_Buds[[#This Row],[Поръчано Количество]]</f>
        <v>5.91</v>
      </c>
      <c r="P228" s="1"/>
      <c r="Q228" s="1"/>
      <c r="R228" s="1" t="str" cm="1">
        <f t="array" ref="R228">_xlfn.SWITCH(S228,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28" s="1"/>
    </row>
    <row r="229" spans="1:19">
      <c r="A229" s="1" t="s">
        <v>879</v>
      </c>
      <c r="B229" s="1">
        <v>50</v>
      </c>
      <c r="C229" s="1">
        <v>50</v>
      </c>
      <c r="D229" s="27">
        <v>45835</v>
      </c>
      <c r="E229" s="1" t="s">
        <v>619</v>
      </c>
      <c r="F229" s="33">
        <v>45833.314398148148</v>
      </c>
      <c r="G229" s="1" t="s">
        <v>22</v>
      </c>
      <c r="H229" s="39">
        <v>177751</v>
      </c>
      <c r="I229" s="1" t="s">
        <v>58</v>
      </c>
      <c r="J229" s="27">
        <v>45835</v>
      </c>
      <c r="K229" s="1"/>
      <c r="L229" s="27">
        <v>45835</v>
      </c>
      <c r="M229" s="1">
        <v>50</v>
      </c>
      <c r="N229" s="1">
        <f>12.32/100</f>
        <v>0.1232</v>
      </c>
      <c r="O229" s="1">
        <f>Cotton_Buds[[#This Row],[Цена за 1 бр. в BGN]]*Cotton_Buds[[#This Row],[Поръчано Количество]]</f>
        <v>6.16</v>
      </c>
      <c r="P229" s="1"/>
      <c r="Q229" s="1"/>
      <c r="R229" s="1" t="str" cm="1">
        <f t="array" ref="R229">_xlfn.SWITCH(S229,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29" s="1"/>
    </row>
    <row r="230" spans="1:19">
      <c r="A230" s="1" t="s">
        <v>880</v>
      </c>
      <c r="B230" s="1">
        <v>50</v>
      </c>
      <c r="C230" s="1">
        <v>50</v>
      </c>
      <c r="D230" s="27">
        <v>45835</v>
      </c>
      <c r="E230" s="1" t="s">
        <v>619</v>
      </c>
      <c r="F230" s="33">
        <v>45833.314525462964</v>
      </c>
      <c r="G230" s="1" t="s">
        <v>22</v>
      </c>
      <c r="H230" s="39">
        <v>177751</v>
      </c>
      <c r="I230" s="1" t="s">
        <v>58</v>
      </c>
      <c r="J230" s="27">
        <v>45835</v>
      </c>
      <c r="K230" s="1"/>
      <c r="L230" s="27">
        <v>45835</v>
      </c>
      <c r="M230" s="1">
        <v>50</v>
      </c>
      <c r="N230" s="1">
        <f>13.37/100</f>
        <v>0.13369999999999999</v>
      </c>
      <c r="O230" s="1">
        <f>Cotton_Buds[[#This Row],[Цена за 1 бр. в BGN]]*Cotton_Buds[[#This Row],[Поръчано Количество]]</f>
        <v>6.6849999999999996</v>
      </c>
      <c r="P230" s="1"/>
      <c r="Q230" s="1"/>
      <c r="R230" s="1" t="str" cm="1">
        <f t="array" ref="R230">_xlfn.SWITCH(S230,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30" s="1"/>
    </row>
    <row r="231" spans="1:19" ht="30">
      <c r="A231" s="1" t="s">
        <v>881</v>
      </c>
      <c r="B231" s="1">
        <v>15</v>
      </c>
      <c r="C231" s="1">
        <v>15</v>
      </c>
      <c r="D231" s="27">
        <v>45842</v>
      </c>
      <c r="E231" s="1" t="s">
        <v>595</v>
      </c>
      <c r="F231" s="33">
        <v>45835.278784722221</v>
      </c>
      <c r="G231" s="1" t="s">
        <v>22</v>
      </c>
      <c r="H231" s="39" t="s">
        <v>882</v>
      </c>
      <c r="I231" s="1" t="s">
        <v>883</v>
      </c>
      <c r="J231" s="27"/>
      <c r="K231" s="1"/>
      <c r="L231" s="27">
        <v>45842</v>
      </c>
      <c r="M231" s="1"/>
      <c r="N231" s="1"/>
      <c r="O231" s="1">
        <f>Cotton_Buds[[#This Row],[Цена за 1 бр. в BGN]]*Cotton_Buds[[#This Row],[Поръчано Количество]]</f>
        <v>0</v>
      </c>
      <c r="P231" s="1"/>
      <c r="Q231" s="1"/>
      <c r="R231" s="1" t="str" cm="1">
        <f t="array" ref="R231">_xlfn.SWITCH(S231,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31" s="1"/>
    </row>
    <row r="232" spans="1:19" ht="30">
      <c r="A232" s="1" t="s">
        <v>884</v>
      </c>
      <c r="B232" s="1">
        <v>560</v>
      </c>
      <c r="C232" s="1"/>
      <c r="D232" s="27">
        <v>45856</v>
      </c>
      <c r="E232" s="1" t="s">
        <v>600</v>
      </c>
      <c r="F232" s="33">
        <v>45835.384976851848</v>
      </c>
      <c r="G232" s="1" t="s">
        <v>42</v>
      </c>
      <c r="H232" s="1" t="s">
        <v>771</v>
      </c>
      <c r="I232" s="1" t="s">
        <v>772</v>
      </c>
      <c r="J232" s="27"/>
      <c r="K232" s="1"/>
      <c r="L232" s="27"/>
      <c r="M232" s="1"/>
      <c r="N232" s="1"/>
      <c r="O232" s="1">
        <f>Cotton_Buds[[#This Row],[Цена за 1 бр. в BGN]]*Cotton_Buds[[#This Row],[Поръчано Количество]]</f>
        <v>0</v>
      </c>
      <c r="P232" s="1"/>
      <c r="Q232" s="1"/>
      <c r="R232" s="1" t="str" cm="1">
        <f t="array" ref="R232">_xlfn.SWITCH(S232,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32" s="1"/>
    </row>
    <row r="233" spans="1:19" ht="30">
      <c r="A233" s="1" t="s">
        <v>885</v>
      </c>
      <c r="B233" s="1">
        <v>1150</v>
      </c>
      <c r="C233" s="1"/>
      <c r="D233" s="27">
        <v>45856</v>
      </c>
      <c r="E233" s="1" t="s">
        <v>600</v>
      </c>
      <c r="F233" s="33">
        <v>45835.385682870372</v>
      </c>
      <c r="G233" s="1" t="s">
        <v>42</v>
      </c>
      <c r="H233" s="1" t="s">
        <v>771</v>
      </c>
      <c r="I233" s="1" t="s">
        <v>772</v>
      </c>
      <c r="J233" s="27"/>
      <c r="K233" s="1"/>
      <c r="L233" s="27"/>
      <c r="M233" s="1"/>
      <c r="N233" s="1"/>
      <c r="O233" s="1">
        <f>Cotton_Buds[[#This Row],[Цена за 1 бр. в BGN]]*Cotton_Buds[[#This Row],[Поръчано Количество]]</f>
        <v>0</v>
      </c>
      <c r="P233" s="1"/>
      <c r="Q233" s="1"/>
      <c r="R233" s="1" t="str" cm="1">
        <f t="array" ref="R233">_xlfn.SWITCH(S233,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33" s="1"/>
    </row>
    <row r="234" spans="1:19" ht="30">
      <c r="A234" s="1" t="s">
        <v>886</v>
      </c>
      <c r="B234" s="1">
        <v>560</v>
      </c>
      <c r="C234" s="1"/>
      <c r="D234" s="27">
        <v>45856</v>
      </c>
      <c r="E234" s="1" t="s">
        <v>600</v>
      </c>
      <c r="F234" s="33">
        <v>45835.386203703703</v>
      </c>
      <c r="G234" s="1" t="s">
        <v>42</v>
      </c>
      <c r="H234" s="1" t="s">
        <v>771</v>
      </c>
      <c r="I234" s="1" t="s">
        <v>772</v>
      </c>
      <c r="J234" s="27"/>
      <c r="K234" s="1"/>
      <c r="L234" s="27"/>
      <c r="M234" s="1"/>
      <c r="N234" s="1"/>
      <c r="O234" s="1">
        <f>Cotton_Buds[[#This Row],[Цена за 1 бр. в BGN]]*Cotton_Buds[[#This Row],[Поръчано Количество]]</f>
        <v>0</v>
      </c>
      <c r="P234" s="1"/>
      <c r="Q234" s="1"/>
      <c r="R234" s="1" t="str" cm="1">
        <f t="array" ref="R234">_xlfn.SWITCH(S234,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34" s="1"/>
    </row>
    <row r="235" spans="1:19">
      <c r="A235" s="1" t="s">
        <v>291</v>
      </c>
      <c r="B235" s="1">
        <v>1</v>
      </c>
      <c r="C235" s="1">
        <v>1</v>
      </c>
      <c r="D235" s="27">
        <v>45857</v>
      </c>
      <c r="E235" s="1" t="s">
        <v>619</v>
      </c>
      <c r="F235" s="33">
        <v>45841.18822916667</v>
      </c>
      <c r="G235" s="1" t="s">
        <v>22</v>
      </c>
      <c r="H235" s="39"/>
      <c r="I235" s="1" t="s">
        <v>58</v>
      </c>
      <c r="J235" s="27"/>
      <c r="K235" s="1"/>
      <c r="L235" s="27"/>
      <c r="M235" s="1"/>
      <c r="N235" s="1">
        <v>7.38</v>
      </c>
      <c r="O235" s="1">
        <f>Cotton_Buds[[#This Row],[Цена за 1 бр. в BGN]]*Cotton_Buds[[#This Row],[Поръчано Количество]]</f>
        <v>7.38</v>
      </c>
      <c r="P235" s="1"/>
      <c r="Q235" s="1"/>
      <c r="R235" s="1" t="str" cm="1">
        <f t="array" ref="R235">_xlfn.SWITCH(S235,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35" s="1"/>
    </row>
    <row r="236" spans="1:19">
      <c r="A236" s="1" t="s">
        <v>887</v>
      </c>
      <c r="B236" s="1">
        <v>2</v>
      </c>
      <c r="C236" s="1">
        <v>2</v>
      </c>
      <c r="D236" s="27">
        <v>45846</v>
      </c>
      <c r="E236" s="1" t="s">
        <v>610</v>
      </c>
      <c r="F236" s="33">
        <v>45845.282199074078</v>
      </c>
      <c r="G236" s="1" t="s">
        <v>22</v>
      </c>
      <c r="H236" s="39" t="s">
        <v>888</v>
      </c>
      <c r="I236" s="1" t="s">
        <v>104</v>
      </c>
      <c r="J236" s="27"/>
      <c r="K236" s="1"/>
      <c r="L236" s="27"/>
      <c r="M236" s="1"/>
      <c r="N236" s="1">
        <v>98.56</v>
      </c>
      <c r="O236" s="1">
        <f>Cotton_Buds[[#This Row],[Цена за 1 бр. в BGN]]*Cotton_Buds[[#This Row],[Поръчано Количество]]</f>
        <v>197.12</v>
      </c>
      <c r="P236" s="1"/>
      <c r="Q236" s="1"/>
      <c r="R236" s="1" t="str" cm="1">
        <f t="array" ref="R236">_xlfn.SWITCH(S236,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36" s="1"/>
    </row>
    <row r="237" spans="1:19" ht="30">
      <c r="A237" s="1" t="s">
        <v>889</v>
      </c>
      <c r="B237" s="1">
        <v>30</v>
      </c>
      <c r="C237" s="1"/>
      <c r="D237" s="27">
        <v>45855</v>
      </c>
      <c r="E237" s="1" t="s">
        <v>595</v>
      </c>
      <c r="F237" s="33">
        <v>45848.21607638889</v>
      </c>
      <c r="G237" s="1"/>
      <c r="H237" s="39"/>
      <c r="I237" s="1"/>
      <c r="J237" s="27"/>
      <c r="K237" s="1"/>
      <c r="L237" s="27"/>
      <c r="M237" s="1"/>
      <c r="N237" s="1"/>
      <c r="O237" s="1">
        <f>Cotton_Buds[[#This Row],[Цена за 1 бр. в BGN]]*Cotton_Buds[[#This Row],[Поръчано Количество]]</f>
        <v>0</v>
      </c>
      <c r="P237" s="1"/>
      <c r="Q237" s="1"/>
      <c r="R237" s="1" t="str" cm="1">
        <f t="array" ref="R237">_xlfn.SWITCH(S237,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37" s="1"/>
    </row>
    <row r="238" spans="1:19" ht="30">
      <c r="A238" s="1" t="s">
        <v>890</v>
      </c>
      <c r="B238" s="1">
        <v>4</v>
      </c>
      <c r="C238" s="1">
        <v>4</v>
      </c>
      <c r="D238" s="27">
        <v>45855</v>
      </c>
      <c r="E238" s="1" t="s">
        <v>602</v>
      </c>
      <c r="F238" s="33">
        <v>45848.396886574075</v>
      </c>
      <c r="G238" s="1" t="s">
        <v>22</v>
      </c>
      <c r="H238" s="39" t="s">
        <v>891</v>
      </c>
      <c r="I238" s="1" t="s">
        <v>31</v>
      </c>
      <c r="J238" s="27">
        <v>45855</v>
      </c>
      <c r="K238" s="1"/>
      <c r="L238" s="27">
        <v>45855</v>
      </c>
      <c r="M238" s="1">
        <v>4</v>
      </c>
      <c r="N238" s="1">
        <v>68.67</v>
      </c>
      <c r="O238" s="1">
        <f>Cotton_Buds[[#This Row],[Цена за 1 бр. в BGN]]*Cotton_Buds[[#This Row],[Поръчано Количество]]</f>
        <v>274.68</v>
      </c>
      <c r="P238" s="1" t="s">
        <v>892</v>
      </c>
      <c r="Q238" s="1"/>
      <c r="R238" s="1" t="str" cm="1">
        <f t="array" ref="R238">_xlfn.SWITCH(S238,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38" s="1"/>
    </row>
    <row r="239" spans="1:19" ht="30">
      <c r="A239" s="1" t="s">
        <v>893</v>
      </c>
      <c r="B239" s="1">
        <v>3</v>
      </c>
      <c r="C239" s="1">
        <v>3</v>
      </c>
      <c r="D239" s="27">
        <v>45849</v>
      </c>
      <c r="E239" s="1" t="s">
        <v>619</v>
      </c>
      <c r="F239" s="33">
        <v>45849.377812500003</v>
      </c>
      <c r="G239" s="1" t="s">
        <v>22</v>
      </c>
      <c r="H239" s="39" t="s">
        <v>894</v>
      </c>
      <c r="I239" s="1"/>
      <c r="J239" s="27"/>
      <c r="K239" s="1"/>
      <c r="L239" s="27"/>
      <c r="M239" s="1">
        <v>3</v>
      </c>
      <c r="N239" s="1">
        <v>43.76</v>
      </c>
      <c r="O239" s="1">
        <f>Cotton_Buds[[#This Row],[Цена за 1 бр. в BGN]]*Cotton_Buds[[#This Row],[Поръчано Количество]]</f>
        <v>131.28</v>
      </c>
      <c r="P239" s="1"/>
      <c r="Q239" s="1"/>
      <c r="R239" s="1" t="str" cm="1">
        <f t="array" ref="R239">_xlfn.SWITCH(S239,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39" s="1"/>
    </row>
    <row r="240" spans="1:19" ht="45">
      <c r="A240" s="1" t="s">
        <v>895</v>
      </c>
      <c r="B240" s="1">
        <v>3</v>
      </c>
      <c r="C240" s="1">
        <v>3</v>
      </c>
      <c r="D240" s="27">
        <v>45850</v>
      </c>
      <c r="E240" s="1" t="s">
        <v>619</v>
      </c>
      <c r="F240" s="33">
        <v>45849.378935185188</v>
      </c>
      <c r="G240" s="1" t="s">
        <v>22</v>
      </c>
      <c r="H240" s="39" t="s">
        <v>894</v>
      </c>
      <c r="I240" s="1"/>
      <c r="J240" s="27"/>
      <c r="K240" s="1"/>
      <c r="L240" s="27"/>
      <c r="M240" s="1">
        <v>2</v>
      </c>
      <c r="N240" s="1">
        <v>72.28</v>
      </c>
      <c r="O240" s="1">
        <f>Cotton_Buds[[#This Row],[Цена за 1 бр. в BGN]]*Cotton_Buds[[#This Row],[Поръчано Количество]]</f>
        <v>216.84</v>
      </c>
      <c r="P240" s="1"/>
      <c r="Q240" s="1"/>
      <c r="R240" s="1" t="str" cm="1">
        <f t="array" ref="R240">_xlfn.SWITCH(S240,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40" s="1"/>
    </row>
    <row r="241" spans="1:19">
      <c r="A241" s="1" t="s">
        <v>896</v>
      </c>
      <c r="B241" s="1">
        <v>1</v>
      </c>
      <c r="C241" s="1"/>
      <c r="D241" s="27">
        <v>45869</v>
      </c>
      <c r="E241" s="1" t="s">
        <v>619</v>
      </c>
      <c r="F241" s="33">
        <v>45849.455462962964</v>
      </c>
      <c r="G241" s="1"/>
      <c r="H241" s="39"/>
      <c r="I241" s="1"/>
      <c r="J241" s="27"/>
      <c r="K241" s="1"/>
      <c r="L241" s="27"/>
      <c r="M241" s="1"/>
      <c r="N241" s="1"/>
      <c r="O241" s="1">
        <f>Cotton_Buds[[#This Row],[Цена за 1 бр. в BGN]]*Cotton_Buds[[#This Row],[Поръчано Количество]]</f>
        <v>0</v>
      </c>
      <c r="P241" s="1"/>
      <c r="Q241" s="1"/>
      <c r="R241" s="1" t="str" cm="1">
        <f t="array" ref="R241">_xlfn.SWITCH(S241,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41" s="1"/>
    </row>
    <row r="242" spans="1:19">
      <c r="A242" s="1" t="s">
        <v>897</v>
      </c>
      <c r="B242" s="1">
        <v>4</v>
      </c>
      <c r="C242" s="1">
        <v>4</v>
      </c>
      <c r="D242" s="27">
        <v>45869</v>
      </c>
      <c r="E242" s="1" t="s">
        <v>600</v>
      </c>
      <c r="F242" s="33">
        <v>45852.285127314812</v>
      </c>
      <c r="G242" s="1" t="s">
        <v>22</v>
      </c>
      <c r="H242" s="39" t="s">
        <v>617</v>
      </c>
      <c r="I242" s="1" t="s">
        <v>24</v>
      </c>
      <c r="J242" s="27"/>
      <c r="K242" s="1"/>
      <c r="L242" s="27"/>
      <c r="M242" s="1"/>
      <c r="N242" s="1"/>
      <c r="O242" s="1">
        <f>Cotton_Buds[[#This Row],[Цена за 1 бр. в BGN]]*Cotton_Buds[[#This Row],[Поръчано Количество]]</f>
        <v>0</v>
      </c>
      <c r="P242" s="1"/>
      <c r="Q242" s="1"/>
      <c r="R242" s="1" t="str" cm="1">
        <f t="array" ref="R242">_xlfn.SWITCH(S242,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42" s="1"/>
    </row>
    <row r="243" spans="1:19">
      <c r="A243" s="1" t="s">
        <v>898</v>
      </c>
      <c r="B243" s="1">
        <v>30</v>
      </c>
      <c r="C243" s="1"/>
      <c r="D243" s="27">
        <v>45869</v>
      </c>
      <c r="E243" s="1" t="s">
        <v>619</v>
      </c>
      <c r="F243" s="33">
        <v>45853.221168981479</v>
      </c>
      <c r="G243" s="1" t="s">
        <v>22</v>
      </c>
      <c r="H243" s="39"/>
      <c r="I243" s="1" t="s">
        <v>58</v>
      </c>
      <c r="J243" s="27"/>
      <c r="K243" s="1"/>
      <c r="L243" s="27"/>
      <c r="M243" s="1"/>
      <c r="N243" s="1"/>
      <c r="O243" s="1">
        <f>Cotton_Buds[[#This Row],[Цена за 1 бр. в BGN]]*Cotton_Buds[[#This Row],[Поръчано Количество]]</f>
        <v>0</v>
      </c>
      <c r="P243" s="1"/>
      <c r="Q243" s="1"/>
      <c r="R243" s="1" t="str" cm="1">
        <f t="array" ref="R243">_xlfn.SWITCH(S243,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43" s="1"/>
    </row>
    <row r="244" spans="1:19">
      <c r="A244" s="1" t="s">
        <v>899</v>
      </c>
      <c r="B244" s="1">
        <v>30</v>
      </c>
      <c r="C244" s="1"/>
      <c r="D244" s="27">
        <v>45869</v>
      </c>
      <c r="E244" s="1" t="s">
        <v>619</v>
      </c>
      <c r="F244" s="33">
        <v>45853.222581018519</v>
      </c>
      <c r="G244" s="1" t="s">
        <v>22</v>
      </c>
      <c r="H244" s="39"/>
      <c r="I244" s="1" t="s">
        <v>58</v>
      </c>
      <c r="J244" s="27"/>
      <c r="K244" s="1"/>
      <c r="L244" s="27"/>
      <c r="M244" s="1"/>
      <c r="N244" s="1"/>
      <c r="O244" s="1">
        <f>Cotton_Buds[[#This Row],[Цена за 1 бр. в BGN]]*Cotton_Buds[[#This Row],[Поръчано Количество]]</f>
        <v>0</v>
      </c>
      <c r="P244" s="1"/>
      <c r="Q244" s="1"/>
      <c r="R244" s="1" t="str" cm="1">
        <f t="array" ref="R244">_xlfn.SWITCH(S244,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44" s="1"/>
    </row>
    <row r="245" spans="1:19">
      <c r="A245" s="1" t="s">
        <v>900</v>
      </c>
      <c r="B245" s="1">
        <v>30</v>
      </c>
      <c r="C245" s="1"/>
      <c r="D245" s="27">
        <v>45869</v>
      </c>
      <c r="E245" s="1" t="s">
        <v>619</v>
      </c>
      <c r="F245" s="33">
        <v>45853.223333333335</v>
      </c>
      <c r="G245" s="1" t="s">
        <v>22</v>
      </c>
      <c r="H245" s="39"/>
      <c r="I245" s="1" t="s">
        <v>58</v>
      </c>
      <c r="J245" s="27"/>
      <c r="K245" s="1"/>
      <c r="L245" s="27"/>
      <c r="M245" s="1"/>
      <c r="N245" s="1"/>
      <c r="O245" s="1">
        <f>Cotton_Buds[[#This Row],[Цена за 1 бр. в BGN]]*Cotton_Buds[[#This Row],[Поръчано Количество]]</f>
        <v>0</v>
      </c>
      <c r="P245" s="1"/>
      <c r="Q245" s="1"/>
      <c r="R245" s="1" t="str" cm="1">
        <f t="array" ref="R245">_xlfn.SWITCH(S245,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45" s="1"/>
    </row>
    <row r="246" spans="1:19">
      <c r="A246" s="1" t="s">
        <v>901</v>
      </c>
      <c r="B246" s="1">
        <v>50</v>
      </c>
      <c r="C246" s="1">
        <v>100</v>
      </c>
      <c r="D246" s="27">
        <v>45863</v>
      </c>
      <c r="E246" s="1" t="s">
        <v>619</v>
      </c>
      <c r="F246" s="33">
        <v>45853.224259259259</v>
      </c>
      <c r="G246" s="1" t="s">
        <v>22</v>
      </c>
      <c r="H246" s="39" t="s">
        <v>902</v>
      </c>
      <c r="I246" s="1" t="s">
        <v>35</v>
      </c>
      <c r="J246" s="27"/>
      <c r="K246" s="1"/>
      <c r="L246" s="27">
        <v>46066</v>
      </c>
      <c r="M246" s="1">
        <v>100</v>
      </c>
      <c r="N246" s="19">
        <f>(55*1.95583)/100</f>
        <v>1.0757064999999999</v>
      </c>
      <c r="O246" s="19">
        <f>Cotton_Buds[[#This Row],[Цена за 1 бр. в BGN]]*Cotton_Buds[[#This Row],[Поръчано Количество]]</f>
        <v>107.57064999999999</v>
      </c>
      <c r="P246" s="1"/>
      <c r="Q246" s="1"/>
      <c r="R246" s="1" t="str" cm="1">
        <f t="array" ref="R246">_xlfn.SWITCH(S246,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46" s="1"/>
    </row>
    <row r="247" spans="1:19" ht="30">
      <c r="A247" s="1" t="s">
        <v>903</v>
      </c>
      <c r="B247" s="1">
        <v>1</v>
      </c>
      <c r="C247" s="1"/>
      <c r="D247" s="27">
        <v>45870</v>
      </c>
      <c r="E247" s="1" t="s">
        <v>595</v>
      </c>
      <c r="F247" s="33">
        <v>45853.22929398148</v>
      </c>
      <c r="G247" s="1" t="s">
        <v>42</v>
      </c>
      <c r="H247" s="1" t="s">
        <v>771</v>
      </c>
      <c r="I247" s="1" t="s">
        <v>772</v>
      </c>
      <c r="J247" s="27"/>
      <c r="K247" s="1"/>
      <c r="L247" s="27"/>
      <c r="M247" s="1"/>
      <c r="N247" s="1"/>
      <c r="O247" s="1">
        <f>Cotton_Buds[[#This Row],[Цена за 1 бр. в BGN]]*Cotton_Buds[[#This Row],[Поръчано Количество]]</f>
        <v>0</v>
      </c>
      <c r="P247" s="1"/>
      <c r="Q247" s="1"/>
      <c r="R247" s="1" t="str" cm="1">
        <f t="array" ref="R247">_xlfn.SWITCH(S247,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47" s="1"/>
    </row>
    <row r="248" spans="1:19" ht="30">
      <c r="A248" s="1" t="s">
        <v>904</v>
      </c>
      <c r="B248" s="1">
        <v>1</v>
      </c>
      <c r="C248" s="1"/>
      <c r="D248" s="27">
        <v>45870</v>
      </c>
      <c r="E248" s="1" t="s">
        <v>619</v>
      </c>
      <c r="F248" s="33">
        <v>45853.230115740742</v>
      </c>
      <c r="G248" s="1" t="s">
        <v>42</v>
      </c>
      <c r="H248" s="1" t="s">
        <v>771</v>
      </c>
      <c r="I248" s="1" t="s">
        <v>772</v>
      </c>
      <c r="J248" s="27"/>
      <c r="K248" s="1"/>
      <c r="L248" s="27"/>
      <c r="M248" s="1"/>
      <c r="N248" s="1"/>
      <c r="O248" s="1">
        <f>Cotton_Buds[[#This Row],[Цена за 1 бр. в BGN]]*Cotton_Buds[[#This Row],[Поръчано Количество]]</f>
        <v>0</v>
      </c>
      <c r="P248" s="1"/>
      <c r="Q248" s="1"/>
      <c r="R248" s="1" t="str" cm="1">
        <f t="array" ref="R248">_xlfn.SWITCH(S248,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48" s="1"/>
    </row>
    <row r="249" spans="1:19" ht="30">
      <c r="A249" s="1" t="s">
        <v>905</v>
      </c>
      <c r="B249" s="1">
        <v>20</v>
      </c>
      <c r="C249" s="1"/>
      <c r="D249" s="27">
        <v>45869</v>
      </c>
      <c r="E249" s="1" t="s">
        <v>595</v>
      </c>
      <c r="F249" s="33">
        <v>45853.319699074076</v>
      </c>
      <c r="G249" s="1" t="s">
        <v>42</v>
      </c>
      <c r="H249" s="1" t="s">
        <v>771</v>
      </c>
      <c r="I249" s="1" t="s">
        <v>772</v>
      </c>
      <c r="J249" s="27"/>
      <c r="K249" s="1"/>
      <c r="L249" s="27"/>
      <c r="M249" s="1"/>
      <c r="N249" s="1"/>
      <c r="O249" s="1">
        <f>Cotton_Buds[[#This Row],[Цена за 1 бр. в BGN]]*Cotton_Buds[[#This Row],[Поръчано Количество]]</f>
        <v>0</v>
      </c>
      <c r="P249" s="1"/>
      <c r="Q249" s="1"/>
      <c r="R249" s="1" t="str" cm="1">
        <f t="array" ref="R249">_xlfn.SWITCH(S249,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49" s="1"/>
    </row>
    <row r="250" spans="1:19" ht="30">
      <c r="A250" s="1" t="s">
        <v>906</v>
      </c>
      <c r="B250" s="1">
        <v>1</v>
      </c>
      <c r="C250" s="1"/>
      <c r="D250" s="27">
        <v>45863</v>
      </c>
      <c r="E250" s="1" t="s">
        <v>619</v>
      </c>
      <c r="F250" s="33">
        <v>45853.321550925924</v>
      </c>
      <c r="G250" s="1" t="s">
        <v>22</v>
      </c>
      <c r="H250" s="39"/>
      <c r="I250" s="1" t="s">
        <v>46</v>
      </c>
      <c r="J250" s="27"/>
      <c r="K250" s="1"/>
      <c r="L250" s="27"/>
      <c r="M250" s="1"/>
      <c r="N250" s="1"/>
      <c r="O250" s="1">
        <f>Cotton_Buds[[#This Row],[Цена за 1 бр. в BGN]]*Cotton_Buds[[#This Row],[Поръчано Количество]]</f>
        <v>0</v>
      </c>
      <c r="P250" s="1"/>
      <c r="Q250" s="1"/>
      <c r="R250" s="1" t="str" cm="1">
        <f t="array" ref="R250">_xlfn.SWITCH(S250,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50" s="1"/>
    </row>
    <row r="251" spans="1:19" ht="30">
      <c r="A251" s="1" t="s">
        <v>907</v>
      </c>
      <c r="B251" s="1">
        <v>1</v>
      </c>
      <c r="C251" s="1"/>
      <c r="D251" s="27">
        <v>45863</v>
      </c>
      <c r="E251" s="1" t="s">
        <v>619</v>
      </c>
      <c r="F251" s="33">
        <v>45853.335347222222</v>
      </c>
      <c r="G251" s="1" t="s">
        <v>22</v>
      </c>
      <c r="H251" s="39"/>
      <c r="I251" s="1" t="s">
        <v>46</v>
      </c>
      <c r="J251" s="27"/>
      <c r="K251" s="1"/>
      <c r="L251" s="27"/>
      <c r="M251" s="1"/>
      <c r="N251" s="1"/>
      <c r="O251" s="1">
        <f>Cotton_Buds[[#This Row],[Цена за 1 бр. в BGN]]*Cotton_Buds[[#This Row],[Поръчано Количество]]</f>
        <v>0</v>
      </c>
      <c r="P251" s="1"/>
      <c r="Q251" s="1"/>
      <c r="R251" s="1" t="str" cm="1">
        <f t="array" ref="R251">_xlfn.SWITCH(S251,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51" s="1"/>
    </row>
    <row r="252" spans="1:19">
      <c r="A252" s="1" t="s">
        <v>908</v>
      </c>
      <c r="B252" s="1">
        <v>2</v>
      </c>
      <c r="C252" s="1"/>
      <c r="D252" s="27">
        <v>45864</v>
      </c>
      <c r="E252" s="1" t="s">
        <v>619</v>
      </c>
      <c r="F252" s="33">
        <v>45853.33766203704</v>
      </c>
      <c r="G252" s="1"/>
      <c r="H252" s="39"/>
      <c r="I252" s="1" t="s">
        <v>31</v>
      </c>
      <c r="J252" s="27"/>
      <c r="K252" s="1"/>
      <c r="L252" s="27"/>
      <c r="M252" s="1"/>
      <c r="N252" s="1"/>
      <c r="O252" s="1">
        <f>Cotton_Buds[[#This Row],[Цена за 1 бр. в BGN]]*Cotton_Buds[[#This Row],[Поръчано Количество]]</f>
        <v>0</v>
      </c>
      <c r="P252" s="1"/>
      <c r="Q252" s="1"/>
      <c r="R252" s="1" t="str" cm="1">
        <f t="array" ref="R252">_xlfn.SWITCH(S252,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52" s="1"/>
    </row>
    <row r="253" spans="1:19" ht="30">
      <c r="A253" s="1" t="s">
        <v>909</v>
      </c>
      <c r="B253" s="1">
        <v>5</v>
      </c>
      <c r="C253" s="1"/>
      <c r="D253" s="27">
        <v>45869</v>
      </c>
      <c r="E253" s="1" t="s">
        <v>595</v>
      </c>
      <c r="F253" s="33">
        <v>45854.301423611112</v>
      </c>
      <c r="G253" s="1" t="s">
        <v>42</v>
      </c>
      <c r="H253" s="1" t="s">
        <v>771</v>
      </c>
      <c r="I253" s="1" t="s">
        <v>772</v>
      </c>
      <c r="J253" s="27"/>
      <c r="K253" s="1"/>
      <c r="L253" s="27"/>
      <c r="M253" s="1"/>
      <c r="N253" s="1"/>
      <c r="O253" s="1">
        <f>Cotton_Buds[[#This Row],[Цена за 1 бр. в BGN]]*Cotton_Buds[[#This Row],[Поръчано Количество]]</f>
        <v>0</v>
      </c>
      <c r="P253" s="1"/>
      <c r="Q253" s="1"/>
      <c r="R253" s="1" t="str" cm="1">
        <f t="array" ref="R253">_xlfn.SWITCH(S253,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53" s="1"/>
    </row>
    <row r="254" spans="1:19" ht="45">
      <c r="A254" s="1" t="s">
        <v>910</v>
      </c>
      <c r="B254" s="1">
        <v>10</v>
      </c>
      <c r="C254" s="1"/>
      <c r="D254" s="27">
        <v>45869</v>
      </c>
      <c r="E254" s="1" t="s">
        <v>595</v>
      </c>
      <c r="F254" s="33">
        <v>45854.383958333332</v>
      </c>
      <c r="G254" s="1" t="s">
        <v>22</v>
      </c>
      <c r="H254" s="39" t="s">
        <v>911</v>
      </c>
      <c r="I254" s="1" t="s">
        <v>912</v>
      </c>
      <c r="J254" s="27"/>
      <c r="K254" s="1"/>
      <c r="L254" s="27"/>
      <c r="M254" s="1"/>
      <c r="N254" s="1"/>
      <c r="O254" s="1">
        <f>Cotton_Buds[[#This Row],[Цена за 1 бр. в BGN]]*Cotton_Buds[[#This Row],[Поръчано Количество]]</f>
        <v>0</v>
      </c>
      <c r="P254" s="1"/>
      <c r="Q254" s="1"/>
      <c r="R254" s="1" t="str" cm="1">
        <f t="array" ref="R254">_xlfn.SWITCH(S254,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54" s="1"/>
    </row>
    <row r="255" spans="1:19" ht="30">
      <c r="A255" s="1" t="s">
        <v>913</v>
      </c>
      <c r="B255" s="1">
        <v>10</v>
      </c>
      <c r="C255" s="1">
        <v>10</v>
      </c>
      <c r="D255" s="27">
        <v>45863</v>
      </c>
      <c r="E255" s="1" t="s">
        <v>619</v>
      </c>
      <c r="F255" s="33">
        <v>45854.433657407404</v>
      </c>
      <c r="G255" s="1" t="s">
        <v>22</v>
      </c>
      <c r="H255" s="39" t="s">
        <v>902</v>
      </c>
      <c r="I255" s="1" t="s">
        <v>35</v>
      </c>
      <c r="J255" s="27"/>
      <c r="K255" s="1"/>
      <c r="L255" s="27">
        <v>46066</v>
      </c>
      <c r="M255" s="1">
        <v>10</v>
      </c>
      <c r="N255" s="19">
        <f>7.96*1.95583</f>
        <v>15.5684068</v>
      </c>
      <c r="O255" s="19">
        <f>Cotton_Buds[[#This Row],[Цена за 1 бр. в BGN]]*Cotton_Buds[[#This Row],[Поръчано Количество]]</f>
        <v>155.684068</v>
      </c>
      <c r="P255" s="1"/>
      <c r="Q255" s="1"/>
      <c r="R255" s="1" t="str" cm="1">
        <f t="array" ref="R255">_xlfn.SWITCH(S255,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55" s="1"/>
    </row>
    <row r="256" spans="1:19" ht="30">
      <c r="A256" s="1" t="s">
        <v>914</v>
      </c>
      <c r="B256" s="1">
        <v>10</v>
      </c>
      <c r="C256" s="1">
        <v>10</v>
      </c>
      <c r="D256" s="27">
        <v>45864</v>
      </c>
      <c r="E256" s="1" t="s">
        <v>619</v>
      </c>
      <c r="F256" s="33">
        <v>45854.435081018521</v>
      </c>
      <c r="G256" s="1" t="s">
        <v>22</v>
      </c>
      <c r="H256" s="39" t="s">
        <v>902</v>
      </c>
      <c r="I256" s="1" t="s">
        <v>35</v>
      </c>
      <c r="J256" s="27"/>
      <c r="K256" s="1"/>
      <c r="L256" s="27">
        <v>46066</v>
      </c>
      <c r="M256" s="1">
        <v>10</v>
      </c>
      <c r="N256" s="1">
        <f>7.35*1.95583</f>
        <v>14.3753505</v>
      </c>
      <c r="O256" s="1">
        <f>Cotton_Buds[[#This Row],[Цена за 1 бр. в BGN]]*Cotton_Buds[[#This Row],[Поръчано Количество]]</f>
        <v>143.75350499999999</v>
      </c>
      <c r="P256" s="1"/>
      <c r="Q256" s="1"/>
      <c r="R256" s="1" t="str" cm="1">
        <f t="array" ref="R256">_xlfn.SWITCH(S256,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56" s="1"/>
    </row>
    <row r="257" spans="1:19" ht="30">
      <c r="A257" s="1" t="s">
        <v>915</v>
      </c>
      <c r="B257" s="1">
        <v>10</v>
      </c>
      <c r="C257" s="1">
        <v>10</v>
      </c>
      <c r="D257" s="27">
        <v>45863</v>
      </c>
      <c r="E257" s="1" t="s">
        <v>619</v>
      </c>
      <c r="F257" s="33">
        <v>45854.435520833336</v>
      </c>
      <c r="G257" s="1" t="s">
        <v>22</v>
      </c>
      <c r="H257" s="39" t="s">
        <v>902</v>
      </c>
      <c r="I257" s="1" t="s">
        <v>35</v>
      </c>
      <c r="J257" s="27"/>
      <c r="K257" s="1"/>
      <c r="L257" s="27">
        <v>46066</v>
      </c>
      <c r="M257" s="1">
        <v>10</v>
      </c>
      <c r="N257" s="1">
        <f>8.55*1.95583</f>
        <v>16.7223465</v>
      </c>
      <c r="O257" s="1">
        <f>Cotton_Buds[[#This Row],[Цена за 1 бр. в BGN]]*Cotton_Buds[[#This Row],[Поръчано Количество]]</f>
        <v>167.223465</v>
      </c>
      <c r="P257" s="1"/>
      <c r="Q257" s="1"/>
      <c r="R257" s="1" t="str" cm="1">
        <f t="array" ref="R257">_xlfn.SWITCH(S257,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57" s="1"/>
    </row>
    <row r="258" spans="1:19" ht="30">
      <c r="A258" s="1" t="s">
        <v>916</v>
      </c>
      <c r="B258" s="1">
        <v>10</v>
      </c>
      <c r="C258" s="1">
        <v>10</v>
      </c>
      <c r="D258" s="27">
        <v>45863</v>
      </c>
      <c r="E258" s="1" t="s">
        <v>619</v>
      </c>
      <c r="F258" s="33">
        <v>45854.435787037037</v>
      </c>
      <c r="G258" s="1" t="s">
        <v>22</v>
      </c>
      <c r="H258" s="39" t="s">
        <v>902</v>
      </c>
      <c r="I258" s="1" t="s">
        <v>35</v>
      </c>
      <c r="J258" s="27"/>
      <c r="K258" s="1"/>
      <c r="L258" s="27">
        <v>46066</v>
      </c>
      <c r="M258" s="1">
        <v>10</v>
      </c>
      <c r="N258" s="1">
        <f>9.21*1.95583</f>
        <v>18.013194300000002</v>
      </c>
      <c r="O258" s="1">
        <f>Cotton_Buds[[#This Row],[Цена за 1 бр. в BGN]]*Cotton_Buds[[#This Row],[Поръчано Количество]]</f>
        <v>180.13194300000004</v>
      </c>
      <c r="P258" s="1"/>
      <c r="Q258" s="1"/>
      <c r="R258" s="1" t="str" cm="1">
        <f t="array" ref="R258">_xlfn.SWITCH(S258,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58" s="1"/>
    </row>
    <row r="259" spans="1:19" ht="30">
      <c r="A259" s="1" t="s">
        <v>917</v>
      </c>
      <c r="B259" s="1">
        <v>2</v>
      </c>
      <c r="C259" s="1">
        <v>2</v>
      </c>
      <c r="D259" s="27">
        <v>45856</v>
      </c>
      <c r="E259" s="1" t="s">
        <v>595</v>
      </c>
      <c r="F259" s="33">
        <v>45854.526574074072</v>
      </c>
      <c r="G259" s="1" t="s">
        <v>22</v>
      </c>
      <c r="H259" s="39" t="s">
        <v>918</v>
      </c>
      <c r="I259" s="1" t="s">
        <v>46</v>
      </c>
      <c r="J259" s="27">
        <v>45877</v>
      </c>
      <c r="K259" s="1"/>
      <c r="L259" s="27"/>
      <c r="M259" s="1"/>
      <c r="N259" s="1">
        <v>344</v>
      </c>
      <c r="O259" s="1">
        <f>Cotton_Buds[[#This Row],[Цена за 1 бр. в BGN]]*Cotton_Buds[[#This Row],[Поръчано Количество]]</f>
        <v>688</v>
      </c>
      <c r="P259" s="1"/>
      <c r="Q259" s="1"/>
      <c r="R259" s="1" t="str" cm="1">
        <f t="array" ref="R259">_xlfn.SWITCH(S259,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59" s="1"/>
    </row>
    <row r="260" spans="1:19" ht="30">
      <c r="A260" s="1" t="s">
        <v>919</v>
      </c>
      <c r="B260" s="1">
        <v>3</v>
      </c>
      <c r="C260" s="1">
        <v>3</v>
      </c>
      <c r="D260" s="27">
        <v>45869</v>
      </c>
      <c r="E260" s="1" t="s">
        <v>600</v>
      </c>
      <c r="F260" s="33">
        <v>45855.456863425927</v>
      </c>
      <c r="G260" s="1" t="s">
        <v>42</v>
      </c>
      <c r="H260" s="1" t="s">
        <v>771</v>
      </c>
      <c r="I260" s="1" t="s">
        <v>772</v>
      </c>
      <c r="J260" s="27"/>
      <c r="K260" s="1"/>
      <c r="L260" s="27"/>
      <c r="M260" s="1"/>
      <c r="N260" s="1"/>
      <c r="O260" s="1">
        <f>Cotton_Buds[[#This Row],[Цена за 1 бр. в BGN]]*Cotton_Buds[[#This Row],[Поръчано Количество]]</f>
        <v>0</v>
      </c>
      <c r="P260" s="1"/>
      <c r="Q260" s="1"/>
      <c r="R260" s="1" t="str" cm="1">
        <f t="array" ref="R260">_xlfn.SWITCH(S260,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60" s="1"/>
    </row>
    <row r="261" spans="1:19" ht="45">
      <c r="A261" s="1" t="s">
        <v>920</v>
      </c>
      <c r="B261" s="1">
        <v>1</v>
      </c>
      <c r="C261" s="1"/>
      <c r="D261" s="27">
        <v>45861</v>
      </c>
      <c r="E261" s="1" t="s">
        <v>610</v>
      </c>
      <c r="F261" s="33">
        <v>45855.478020833332</v>
      </c>
      <c r="G261" s="1"/>
      <c r="H261" s="1"/>
      <c r="I261" s="1"/>
      <c r="J261" s="27"/>
      <c r="K261" s="1"/>
      <c r="L261" s="27"/>
      <c r="M261" s="1"/>
      <c r="N261" s="1"/>
      <c r="O261" s="1">
        <f>Cotton_Buds[[#This Row],[Цена за 1 бр. в BGN]]*Cotton_Buds[[#This Row],[Поръчано Количество]]</f>
        <v>0</v>
      </c>
      <c r="P261" s="1"/>
      <c r="Q261" s="1"/>
      <c r="R261" s="1" t="str" cm="1">
        <f t="array" ref="R261">_xlfn.SWITCH(S261,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61" s="1"/>
    </row>
    <row r="262" spans="1:19" ht="30">
      <c r="A262" s="1" t="s">
        <v>921</v>
      </c>
      <c r="B262" s="1">
        <v>4</v>
      </c>
      <c r="C262" s="1">
        <v>4</v>
      </c>
      <c r="D262" s="27">
        <v>45870</v>
      </c>
      <c r="E262" s="1" t="s">
        <v>595</v>
      </c>
      <c r="F262" s="33">
        <v>45860.210868055554</v>
      </c>
      <c r="G262" s="1" t="s">
        <v>22</v>
      </c>
      <c r="H262" s="1" t="s">
        <v>922</v>
      </c>
      <c r="I262" s="1" t="s">
        <v>35</v>
      </c>
      <c r="J262" s="27"/>
      <c r="K262" s="1"/>
      <c r="L262" s="27"/>
      <c r="M262" s="1"/>
      <c r="N262" s="1"/>
      <c r="O262" s="1">
        <f>Cotton_Buds[[#This Row],[Цена за 1 бр. в BGN]]*Cotton_Buds[[#This Row],[Поръчано Количество]]</f>
        <v>0</v>
      </c>
      <c r="P262" s="1"/>
      <c r="Q262" s="1"/>
      <c r="R262" s="1" t="str" cm="1">
        <f t="array" ref="R262">_xlfn.SWITCH(S262,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62" s="1"/>
    </row>
    <row r="263" spans="1:19" ht="30">
      <c r="A263" s="1" t="s">
        <v>923</v>
      </c>
      <c r="B263" s="1">
        <v>2</v>
      </c>
      <c r="C263" s="1">
        <v>2</v>
      </c>
      <c r="D263" s="27">
        <v>45869</v>
      </c>
      <c r="E263" s="1" t="s">
        <v>595</v>
      </c>
      <c r="F263" s="33">
        <v>45860.374097222222</v>
      </c>
      <c r="G263" s="1" t="s">
        <v>22</v>
      </c>
      <c r="H263" s="1" t="s">
        <v>924</v>
      </c>
      <c r="I263" s="1" t="s">
        <v>667</v>
      </c>
      <c r="J263" s="27"/>
      <c r="K263" s="1"/>
      <c r="L263" s="27">
        <v>45888</v>
      </c>
      <c r="M263" s="1">
        <v>2</v>
      </c>
      <c r="N263" s="1">
        <v>59.62</v>
      </c>
      <c r="O263" s="1">
        <f>Cotton_Buds[[#This Row],[Цена за 1 бр. в BGN]]*Cotton_Buds[[#This Row],[Поръчано Количество]]</f>
        <v>119.24</v>
      </c>
      <c r="P263" s="1"/>
      <c r="Q263" s="1"/>
      <c r="R263" s="1" t="str" cm="1">
        <f t="array" ref="R263">_xlfn.SWITCH(S263,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63" s="1"/>
    </row>
    <row r="264" spans="1:19" ht="30">
      <c r="A264" s="1" t="s">
        <v>925</v>
      </c>
      <c r="B264" s="1">
        <v>2</v>
      </c>
      <c r="C264" s="1">
        <v>3</v>
      </c>
      <c r="D264" s="27">
        <v>45870</v>
      </c>
      <c r="E264" s="1" t="s">
        <v>610</v>
      </c>
      <c r="F264" s="33">
        <v>45863.493344907409</v>
      </c>
      <c r="G264" s="1" t="s">
        <v>22</v>
      </c>
      <c r="H264" s="1" t="s">
        <v>926</v>
      </c>
      <c r="I264" s="1" t="s">
        <v>927</v>
      </c>
      <c r="J264" s="27">
        <v>45878</v>
      </c>
      <c r="K264" s="1"/>
      <c r="L264" s="27"/>
      <c r="M264" s="1"/>
      <c r="N264" s="1"/>
      <c r="O264" s="1">
        <f>Cotton_Buds[[#This Row],[Цена за 1 бр. в BGN]]*Cotton_Buds[[#This Row],[Поръчано Количество]]</f>
        <v>0</v>
      </c>
      <c r="P264" s="1"/>
      <c r="Q264" s="1"/>
      <c r="R264" s="1" t="str" cm="1">
        <f t="array" ref="R264">_xlfn.SWITCH(S264,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64" s="1"/>
    </row>
    <row r="265" spans="1:19">
      <c r="A265" s="1" t="s">
        <v>928</v>
      </c>
      <c r="B265" s="1">
        <v>3</v>
      </c>
      <c r="C265" s="1"/>
      <c r="D265" s="27">
        <v>45869</v>
      </c>
      <c r="E265" s="1" t="s">
        <v>619</v>
      </c>
      <c r="F265" s="33">
        <v>45867.491620370369</v>
      </c>
      <c r="G265" s="1" t="s">
        <v>22</v>
      </c>
      <c r="H265" s="1" t="s">
        <v>929</v>
      </c>
      <c r="I265" s="1"/>
      <c r="J265" s="27"/>
      <c r="K265" s="1"/>
      <c r="L265" s="27"/>
      <c r="M265" s="1"/>
      <c r="N265" s="1"/>
      <c r="O265" s="1">
        <f>Cotton_Buds[[#This Row],[Цена за 1 бр. в BGN]]*Cotton_Buds[[#This Row],[Поръчано Количество]]</f>
        <v>0</v>
      </c>
      <c r="P265" s="1"/>
      <c r="Q265" s="1"/>
      <c r="R265" s="1" t="str" cm="1">
        <f t="array" ref="R265">_xlfn.SWITCH(S265,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65" s="1"/>
    </row>
    <row r="266" spans="1:19" ht="30">
      <c r="A266" s="1" t="s">
        <v>930</v>
      </c>
      <c r="B266" s="1">
        <v>2</v>
      </c>
      <c r="C266" s="1"/>
      <c r="D266" s="27">
        <v>45869</v>
      </c>
      <c r="E266" s="1" t="s">
        <v>619</v>
      </c>
      <c r="F266" s="33">
        <v>45867.492280092592</v>
      </c>
      <c r="G266" s="1" t="s">
        <v>22</v>
      </c>
      <c r="H266" s="1" t="s">
        <v>929</v>
      </c>
      <c r="I266" s="1"/>
      <c r="J266" s="27"/>
      <c r="K266" s="1"/>
      <c r="L266" s="27"/>
      <c r="M266" s="1"/>
      <c r="N266" s="1"/>
      <c r="O266" s="1">
        <f>Cotton_Buds[[#This Row],[Цена за 1 бр. в BGN]]*Cotton_Buds[[#This Row],[Поръчано Количество]]</f>
        <v>0</v>
      </c>
      <c r="P266" s="1"/>
      <c r="Q266" s="1"/>
      <c r="R266" s="1" t="str" cm="1">
        <f t="array" ref="R266">_xlfn.SWITCH(S266,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66" s="1"/>
    </row>
    <row r="267" spans="1:19" ht="30">
      <c r="A267" s="1" t="s">
        <v>931</v>
      </c>
      <c r="B267" s="1">
        <v>2</v>
      </c>
      <c r="C267" s="1"/>
      <c r="D267" s="27">
        <v>45877</v>
      </c>
      <c r="E267" s="1" t="s">
        <v>602</v>
      </c>
      <c r="F267" s="33">
        <v>45870.16946759259</v>
      </c>
      <c r="G267" s="1" t="s">
        <v>42</v>
      </c>
      <c r="H267" s="1" t="s">
        <v>932</v>
      </c>
      <c r="I267" s="1"/>
      <c r="J267" s="27"/>
      <c r="K267" s="1"/>
      <c r="L267" s="27"/>
      <c r="M267" s="1"/>
      <c r="N267" s="1"/>
      <c r="O267" s="1">
        <f>Cotton_Buds[[#This Row],[Цена за 1 бр. в BGN]]*Cotton_Buds[[#This Row],[Поръчано Количество]]</f>
        <v>0</v>
      </c>
      <c r="P267" s="1"/>
      <c r="Q267" s="1"/>
      <c r="R267" s="1" t="str" cm="1">
        <f t="array" ref="R267">_xlfn.SWITCH(S267,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67" s="1"/>
    </row>
    <row r="268" spans="1:19" ht="30">
      <c r="A268" s="1" t="s">
        <v>933</v>
      </c>
      <c r="B268" s="1">
        <v>10</v>
      </c>
      <c r="C268" s="1"/>
      <c r="D268" s="27">
        <v>45894</v>
      </c>
      <c r="E268" s="1" t="s">
        <v>595</v>
      </c>
      <c r="F268" s="33">
        <v>45874.235995370371</v>
      </c>
      <c r="G268" s="1"/>
      <c r="H268" s="1"/>
      <c r="I268" s="1"/>
      <c r="J268" s="27"/>
      <c r="K268" s="1"/>
      <c r="L268" s="27"/>
      <c r="M268" s="1"/>
      <c r="N268" s="1">
        <f t="shared" ref="N268:N274" si="2">15*1.95568</f>
        <v>29.3352</v>
      </c>
      <c r="O268" s="1">
        <f>Cotton_Buds[[#This Row],[Цена за 1 бр. в BGN]]*Cotton_Buds[[#This Row],[Поръчано Количество]]</f>
        <v>0</v>
      </c>
      <c r="P268" s="1"/>
      <c r="Q268" s="1"/>
      <c r="R268" s="1" t="str" cm="1">
        <f t="array" ref="R268">_xlfn.SWITCH(S268,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68" s="1"/>
    </row>
    <row r="269" spans="1:19">
      <c r="A269" s="1" t="s">
        <v>934</v>
      </c>
      <c r="B269" s="1">
        <v>1</v>
      </c>
      <c r="C269" s="1"/>
      <c r="D269" s="27">
        <v>45880</v>
      </c>
      <c r="E269" s="1" t="s">
        <v>619</v>
      </c>
      <c r="F269" s="33">
        <v>45876.255104166667</v>
      </c>
      <c r="G269" s="1" t="s">
        <v>22</v>
      </c>
      <c r="H269" s="1"/>
      <c r="I269" s="1"/>
      <c r="J269" s="27"/>
      <c r="K269" s="1"/>
      <c r="L269" s="27"/>
      <c r="M269" s="1"/>
      <c r="N269" s="1">
        <f t="shared" si="2"/>
        <v>29.3352</v>
      </c>
      <c r="O269" s="1">
        <f>Cotton_Buds[[#This Row],[Цена за 1 бр. в BGN]]*Cotton_Buds[[#This Row],[Поръчано Количество]]</f>
        <v>0</v>
      </c>
      <c r="P269" s="1"/>
      <c r="Q269" s="1"/>
      <c r="R269" s="1" t="str" cm="1">
        <f t="array" ref="R269">_xlfn.SWITCH(S269,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69" s="1"/>
    </row>
    <row r="270" spans="1:19" ht="30">
      <c r="A270" s="1" t="s">
        <v>935</v>
      </c>
      <c r="B270" s="1">
        <v>10</v>
      </c>
      <c r="C270" s="1"/>
      <c r="D270" s="27">
        <v>45899</v>
      </c>
      <c r="E270" s="1" t="s">
        <v>595</v>
      </c>
      <c r="F270" s="33">
        <v>45876.25640046296</v>
      </c>
      <c r="G270" s="1"/>
      <c r="H270" s="1"/>
      <c r="I270" s="1"/>
      <c r="J270" s="27"/>
      <c r="K270" s="1"/>
      <c r="L270" s="27"/>
      <c r="M270" s="1"/>
      <c r="N270" s="1">
        <f t="shared" si="2"/>
        <v>29.3352</v>
      </c>
      <c r="O270" s="1">
        <f>Cotton_Buds[[#This Row],[Цена за 1 бр. в BGN]]*Cotton_Buds[[#This Row],[Поръчано Количество]]</f>
        <v>0</v>
      </c>
      <c r="P270" s="1"/>
      <c r="Q270" s="1"/>
      <c r="R270" s="1" t="str" cm="1">
        <f t="array" ref="R270">_xlfn.SWITCH(S270,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70" s="1"/>
    </row>
    <row r="271" spans="1:19">
      <c r="A271" s="1" t="s">
        <v>936</v>
      </c>
      <c r="B271" s="1">
        <v>15</v>
      </c>
      <c r="C271" s="1"/>
      <c r="D271" s="27">
        <v>45880</v>
      </c>
      <c r="E271" s="1" t="s">
        <v>619</v>
      </c>
      <c r="F271" s="33">
        <v>45876.257326388892</v>
      </c>
      <c r="G271" s="1"/>
      <c r="H271" s="1"/>
      <c r="I271" s="1"/>
      <c r="J271" s="27"/>
      <c r="K271" s="1"/>
      <c r="L271" s="27"/>
      <c r="M271" s="1"/>
      <c r="N271" s="1">
        <f t="shared" si="2"/>
        <v>29.3352</v>
      </c>
      <c r="O271" s="1">
        <f>Cotton_Buds[[#This Row],[Цена за 1 бр. в BGN]]*Cotton_Buds[[#This Row],[Поръчано Количество]]</f>
        <v>0</v>
      </c>
      <c r="P271" s="1"/>
      <c r="Q271" s="1"/>
      <c r="R271" s="1" t="str" cm="1">
        <f t="array" ref="R271">_xlfn.SWITCH(S271,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71" s="1"/>
    </row>
    <row r="272" spans="1:19">
      <c r="A272" s="1" t="s">
        <v>937</v>
      </c>
      <c r="B272" s="1">
        <v>1</v>
      </c>
      <c r="C272" s="1"/>
      <c r="D272" s="27">
        <v>45880</v>
      </c>
      <c r="E272" s="1" t="s">
        <v>63</v>
      </c>
      <c r="F272" s="33">
        <v>45876.257708333331</v>
      </c>
      <c r="G272" s="1" t="s">
        <v>22</v>
      </c>
      <c r="H272" s="1"/>
      <c r="I272" s="1"/>
      <c r="J272" s="27"/>
      <c r="K272" s="1"/>
      <c r="L272" s="27"/>
      <c r="M272" s="1"/>
      <c r="N272" s="1">
        <f t="shared" si="2"/>
        <v>29.3352</v>
      </c>
      <c r="O272" s="1">
        <f>Cotton_Buds[[#This Row],[Цена за 1 бр. в BGN]]*Cotton_Buds[[#This Row],[Поръчано Количество]]</f>
        <v>0</v>
      </c>
      <c r="P272" s="1"/>
      <c r="Q272" s="1"/>
      <c r="R272" s="1" t="str" cm="1">
        <f t="array" ref="R272">_xlfn.SWITCH(S272,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72" s="1"/>
    </row>
    <row r="273" spans="1:19" ht="30">
      <c r="A273" s="1" t="s">
        <v>938</v>
      </c>
      <c r="B273" s="1">
        <v>2</v>
      </c>
      <c r="C273" s="1"/>
      <c r="D273" s="27">
        <v>45894</v>
      </c>
      <c r="E273" s="1" t="s">
        <v>595</v>
      </c>
      <c r="F273" s="33">
        <v>45876.407546296294</v>
      </c>
      <c r="G273" s="1"/>
      <c r="H273" s="1" t="s">
        <v>939</v>
      </c>
      <c r="I273" s="1" t="s">
        <v>104</v>
      </c>
      <c r="J273" s="27"/>
      <c r="K273" s="1"/>
      <c r="L273" s="27"/>
      <c r="M273" s="1"/>
      <c r="N273" s="1">
        <f t="shared" si="2"/>
        <v>29.3352</v>
      </c>
      <c r="O273" s="1">
        <f>Cotton_Buds[[#This Row],[Цена за 1 бр. в BGN]]*Cotton_Buds[[#This Row],[Поръчано Количество]]</f>
        <v>0</v>
      </c>
      <c r="P273" s="1"/>
      <c r="Q273" s="1"/>
      <c r="R273" s="1" t="str" cm="1">
        <f t="array" ref="R273">_xlfn.SWITCH(S273,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73" s="1"/>
    </row>
    <row r="274" spans="1:19" ht="30">
      <c r="A274" s="1" t="s">
        <v>940</v>
      </c>
      <c r="B274" s="1">
        <v>2</v>
      </c>
      <c r="C274" s="1"/>
      <c r="D274" s="27">
        <v>45930</v>
      </c>
      <c r="E274" s="1" t="s">
        <v>595</v>
      </c>
      <c r="F274" s="33">
        <v>45876.422905092593</v>
      </c>
      <c r="G274" s="1"/>
      <c r="H274" s="1"/>
      <c r="I274" s="1"/>
      <c r="J274" s="27"/>
      <c r="K274" s="1"/>
      <c r="L274" s="27"/>
      <c r="M274" s="1"/>
      <c r="N274" s="1">
        <f t="shared" si="2"/>
        <v>29.3352</v>
      </c>
      <c r="O274" s="1">
        <f>Cotton_Buds[[#This Row],[Цена за 1 бр. в BGN]]*Cotton_Buds[[#This Row],[Поръчано Количество]]</f>
        <v>0</v>
      </c>
      <c r="P274" s="1"/>
      <c r="Q274" s="1"/>
      <c r="R274" s="1" t="str" cm="1">
        <f t="array" ref="R274">_xlfn.SWITCH(S274,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74" s="1"/>
    </row>
    <row r="275" spans="1:19" ht="30">
      <c r="A275" s="1" t="s">
        <v>941</v>
      </c>
      <c r="B275" s="1">
        <v>10</v>
      </c>
      <c r="C275" s="1">
        <v>10</v>
      </c>
      <c r="D275" s="27">
        <v>45877</v>
      </c>
      <c r="E275" s="1" t="s">
        <v>595</v>
      </c>
      <c r="F275" s="33">
        <v>45877.254479166666</v>
      </c>
      <c r="G275" s="1" t="s">
        <v>22</v>
      </c>
      <c r="H275" s="1"/>
      <c r="I275" s="1" t="s">
        <v>58</v>
      </c>
      <c r="J275" s="27"/>
      <c r="K275" s="1"/>
      <c r="L275" s="27"/>
      <c r="M275" s="1"/>
      <c r="N275" s="1">
        <f t="shared" ref="N275:N289" si="3">15*1.95568</f>
        <v>29.3352</v>
      </c>
      <c r="O275" s="1">
        <f>Cotton_Buds[[#This Row],[Цена за 1 бр. в BGN]]*Cotton_Buds[[#This Row],[Поръчано Количество]]</f>
        <v>293.35199999999998</v>
      </c>
      <c r="P275" s="1"/>
      <c r="Q275" s="1"/>
      <c r="R275" s="1" t="str" cm="1">
        <f t="array" ref="R275">_xlfn.SWITCH(S275,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75" s="1"/>
    </row>
    <row r="276" spans="1:19">
      <c r="A276" s="1" t="s">
        <v>942</v>
      </c>
      <c r="B276" s="1">
        <v>6</v>
      </c>
      <c r="C276" s="1">
        <v>6</v>
      </c>
      <c r="D276" s="27">
        <v>45897</v>
      </c>
      <c r="E276" s="1" t="s">
        <v>619</v>
      </c>
      <c r="F276" s="33">
        <v>45878.289386574077</v>
      </c>
      <c r="G276" s="1" t="s">
        <v>22</v>
      </c>
      <c r="H276" s="1"/>
      <c r="I276" s="1"/>
      <c r="J276" s="27"/>
      <c r="K276" s="1"/>
      <c r="L276" s="27"/>
      <c r="M276" s="1"/>
      <c r="N276" s="1">
        <f t="shared" si="3"/>
        <v>29.3352</v>
      </c>
      <c r="O276" s="1">
        <f>Cotton_Buds[[#This Row],[Цена за 1 бр. в BGN]]*Cotton_Buds[[#This Row],[Поръчано Количество]]</f>
        <v>176.0112</v>
      </c>
      <c r="P276" s="1"/>
      <c r="Q276" s="1"/>
      <c r="R276" s="1" t="str" cm="1">
        <f t="array" ref="R276">_xlfn.SWITCH(S276,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76" s="1"/>
    </row>
    <row r="277" spans="1:19">
      <c r="A277" s="1" t="s">
        <v>943</v>
      </c>
      <c r="B277" s="1">
        <v>12</v>
      </c>
      <c r="C277" s="1"/>
      <c r="D277" s="27">
        <v>45930</v>
      </c>
      <c r="E277" s="1" t="s">
        <v>602</v>
      </c>
      <c r="F277" s="33">
        <v>45883.463425925926</v>
      </c>
      <c r="G277" s="1"/>
      <c r="H277" s="1"/>
      <c r="I277" s="1"/>
      <c r="J277" s="27"/>
      <c r="K277" s="1"/>
      <c r="L277" s="27"/>
      <c r="M277" s="1"/>
      <c r="N277" s="1">
        <f t="shared" si="3"/>
        <v>29.3352</v>
      </c>
      <c r="O277" s="1">
        <f>Cotton_Buds[[#This Row],[Цена за 1 бр. в BGN]]*Cotton_Buds[[#This Row],[Поръчано Количество]]</f>
        <v>0</v>
      </c>
      <c r="P277" s="1"/>
      <c r="Q277" s="1"/>
      <c r="R277" s="1" t="str" cm="1">
        <f t="array" ref="R277">_xlfn.SWITCH(S277,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77" s="1"/>
    </row>
    <row r="278" spans="1:19">
      <c r="A278" s="1" t="s">
        <v>944</v>
      </c>
      <c r="B278" s="1">
        <v>20</v>
      </c>
      <c r="C278" s="1"/>
      <c r="D278" s="27">
        <v>45930</v>
      </c>
      <c r="E278" s="1" t="s">
        <v>602</v>
      </c>
      <c r="F278" s="33">
        <v>45883.464166666665</v>
      </c>
      <c r="G278" s="1"/>
      <c r="H278" s="1"/>
      <c r="I278" s="1"/>
      <c r="J278" s="27"/>
      <c r="K278" s="1"/>
      <c r="L278" s="27"/>
      <c r="M278" s="1"/>
      <c r="N278" s="1">
        <f t="shared" si="3"/>
        <v>29.3352</v>
      </c>
      <c r="O278" s="1">
        <f>Cotton_Buds[[#This Row],[Цена за 1 бр. в BGN]]*Cotton_Buds[[#This Row],[Поръчано Количество]]</f>
        <v>0</v>
      </c>
      <c r="P278" s="1"/>
      <c r="Q278" s="1"/>
      <c r="R278" s="1" t="str" cm="1">
        <f t="array" ref="R278">_xlfn.SWITCH(S278,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78" s="1"/>
    </row>
    <row r="279" spans="1:19" ht="30">
      <c r="A279" s="1" t="s">
        <v>945</v>
      </c>
      <c r="B279" s="1">
        <v>2</v>
      </c>
      <c r="C279" s="1"/>
      <c r="D279" s="27">
        <v>45884</v>
      </c>
      <c r="E279" s="1" t="s">
        <v>602</v>
      </c>
      <c r="F279" s="33">
        <v>45884.299386574072</v>
      </c>
      <c r="G279" s="1"/>
      <c r="H279" s="1"/>
      <c r="I279" s="1"/>
      <c r="J279" s="27"/>
      <c r="K279" s="1"/>
      <c r="L279" s="27"/>
      <c r="M279" s="1"/>
      <c r="N279" s="1">
        <f t="shared" si="3"/>
        <v>29.3352</v>
      </c>
      <c r="O279" s="1">
        <f>Cotton_Buds[[#This Row],[Цена за 1 бр. в BGN]]*Cotton_Buds[[#This Row],[Поръчано Количество]]</f>
        <v>0</v>
      </c>
      <c r="P279" s="1"/>
      <c r="Q279" s="1"/>
      <c r="R279" s="1" t="str" cm="1">
        <f t="array" ref="R279">_xlfn.SWITCH(S279,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79" s="1"/>
    </row>
    <row r="280" spans="1:19" ht="30">
      <c r="A280" s="1" t="s">
        <v>946</v>
      </c>
      <c r="B280" s="1">
        <v>4</v>
      </c>
      <c r="C280" s="1"/>
      <c r="D280" s="27">
        <v>45905</v>
      </c>
      <c r="E280" s="1" t="s">
        <v>595</v>
      </c>
      <c r="F280" s="33">
        <v>45896.339733796296</v>
      </c>
      <c r="G280" s="1"/>
      <c r="H280" s="1"/>
      <c r="I280" s="1" t="s">
        <v>73</v>
      </c>
      <c r="J280" s="27"/>
      <c r="K280" s="1"/>
      <c r="L280" s="27"/>
      <c r="M280" s="1"/>
      <c r="N280" s="1">
        <f t="shared" si="3"/>
        <v>29.3352</v>
      </c>
      <c r="O280" s="1">
        <f>Cotton_Buds[[#This Row],[Цена за 1 бр. в BGN]]*Cotton_Buds[[#This Row],[Поръчано Количество]]</f>
        <v>0</v>
      </c>
      <c r="P280" s="1"/>
      <c r="Q280" s="1"/>
      <c r="R280" s="1" t="str" cm="1">
        <f t="array" ref="R280">_xlfn.SWITCH(S280,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80" s="1"/>
    </row>
    <row r="281" spans="1:19" ht="30">
      <c r="A281" s="1" t="s">
        <v>947</v>
      </c>
      <c r="B281" s="1">
        <v>2</v>
      </c>
      <c r="C281" s="1">
        <v>2</v>
      </c>
      <c r="D281" s="27">
        <v>45905</v>
      </c>
      <c r="E281" s="1" t="s">
        <v>619</v>
      </c>
      <c r="F281" s="33">
        <v>45897.427222222221</v>
      </c>
      <c r="G281" s="1" t="s">
        <v>22</v>
      </c>
      <c r="H281" s="61">
        <v>187101</v>
      </c>
      <c r="I281" s="1" t="s">
        <v>58</v>
      </c>
      <c r="J281" s="27"/>
      <c r="K281" s="1"/>
      <c r="L281" s="27">
        <v>45903</v>
      </c>
      <c r="M281" s="1">
        <f>Cotton_Buds[[#This Row],[Поръчано Количество]]</f>
        <v>2</v>
      </c>
      <c r="N281" s="1">
        <v>18.690000000000001</v>
      </c>
      <c r="O281" s="1">
        <f>Cotton_Buds[[#This Row],[Цена за 1 бр. в BGN]]*Cotton_Buds[[#This Row],[Поръчано Количество]]</f>
        <v>37.380000000000003</v>
      </c>
      <c r="P281" s="1"/>
      <c r="Q281" s="1"/>
      <c r="R281" s="1" t="str" cm="1">
        <f t="array" ref="R281">_xlfn.SWITCH(S281,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81" s="1"/>
    </row>
    <row r="282" spans="1:19">
      <c r="A282" s="1" t="s">
        <v>948</v>
      </c>
      <c r="B282" s="1">
        <v>2</v>
      </c>
      <c r="C282" s="1"/>
      <c r="D282" s="27">
        <v>45905</v>
      </c>
      <c r="E282" s="1" t="s">
        <v>602</v>
      </c>
      <c r="F282" s="33">
        <v>45897.433252314811</v>
      </c>
      <c r="G282" s="1"/>
      <c r="H282" s="1"/>
      <c r="I282" s="1"/>
      <c r="J282" s="27"/>
      <c r="K282" s="1"/>
      <c r="L282" s="27"/>
      <c r="M282" s="1">
        <v>50</v>
      </c>
      <c r="N282" s="1">
        <f t="shared" si="3"/>
        <v>29.3352</v>
      </c>
      <c r="O282" s="1">
        <f>Cotton_Buds[[#This Row],[Цена за 1 бр. в BGN]]*Cotton_Buds[[#This Row],[Поръчано Количество]]</f>
        <v>0</v>
      </c>
      <c r="P282" s="1"/>
      <c r="Q282" s="1"/>
      <c r="R282" s="1" t="str" cm="1">
        <f t="array" ref="R282">_xlfn.SWITCH(S282,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82" s="1"/>
    </row>
    <row r="283" spans="1:19" ht="15.75">
      <c r="A283" s="1" t="s">
        <v>949</v>
      </c>
      <c r="B283" s="1">
        <v>50</v>
      </c>
      <c r="C283" s="1">
        <v>50</v>
      </c>
      <c r="D283" s="27">
        <v>45905</v>
      </c>
      <c r="E283" s="1" t="s">
        <v>619</v>
      </c>
      <c r="F283" s="33">
        <v>45898.28733796296</v>
      </c>
      <c r="G283" s="1" t="s">
        <v>22</v>
      </c>
      <c r="H283" s="61">
        <v>187101</v>
      </c>
      <c r="I283" s="1" t="s">
        <v>58</v>
      </c>
      <c r="J283" s="27"/>
      <c r="K283" s="1"/>
      <c r="L283" s="27">
        <v>45903</v>
      </c>
      <c r="M283" s="1">
        <f>Cotton_Buds[[#This Row],[Поръчано Количество]]</f>
        <v>50</v>
      </c>
      <c r="N283" s="1">
        <v>0.24</v>
      </c>
      <c r="O283" s="1">
        <f>Cotton_Buds[[#This Row],[Цена за 1 бр. в BGN]]*Cotton_Buds[[#This Row],[Поръчано Количество]]</f>
        <v>12</v>
      </c>
      <c r="P283" s="1"/>
      <c r="Q283" s="1"/>
      <c r="R283" s="1" t="str" cm="1">
        <f t="array" ref="R283">_xlfn.SWITCH(S283,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83" s="1"/>
    </row>
    <row r="284" spans="1:19" ht="15.75">
      <c r="A284" s="1" t="s">
        <v>950</v>
      </c>
      <c r="B284" s="1">
        <v>50</v>
      </c>
      <c r="C284" s="1">
        <v>50</v>
      </c>
      <c r="D284" s="27">
        <v>45905</v>
      </c>
      <c r="E284" s="1" t="s">
        <v>619</v>
      </c>
      <c r="F284" s="33">
        <v>45898.288032407407</v>
      </c>
      <c r="G284" s="1" t="s">
        <v>22</v>
      </c>
      <c r="H284" s="61">
        <v>187101</v>
      </c>
      <c r="I284" s="1" t="s">
        <v>58</v>
      </c>
      <c r="J284" s="27"/>
      <c r="K284" s="1"/>
      <c r="L284" s="27">
        <v>45903</v>
      </c>
      <c r="M284" s="1">
        <f>Cotton_Buds[[#This Row],[Поръчано Количество]]</f>
        <v>50</v>
      </c>
      <c r="N284" s="1">
        <v>0.21</v>
      </c>
      <c r="O284" s="1">
        <f>Cotton_Buds[[#This Row],[Цена за 1 бр. в BGN]]*Cotton_Buds[[#This Row],[Поръчано Количество]]</f>
        <v>10.5</v>
      </c>
      <c r="P284" s="1"/>
      <c r="Q284" s="1"/>
      <c r="R284" s="1" t="str" cm="1">
        <f t="array" ref="R284">_xlfn.SWITCH(S284,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84" s="1"/>
    </row>
    <row r="285" spans="1:19" ht="15.75">
      <c r="A285" s="1" t="s">
        <v>951</v>
      </c>
      <c r="B285" s="1">
        <v>50</v>
      </c>
      <c r="C285" s="1">
        <v>50</v>
      </c>
      <c r="D285" s="27">
        <v>45905</v>
      </c>
      <c r="E285" s="1" t="s">
        <v>619</v>
      </c>
      <c r="F285" s="33">
        <v>45898.288645833331</v>
      </c>
      <c r="G285" s="1" t="s">
        <v>22</v>
      </c>
      <c r="H285" s="61">
        <v>187101</v>
      </c>
      <c r="I285" s="1" t="s">
        <v>58</v>
      </c>
      <c r="J285" s="27"/>
      <c r="K285" s="1"/>
      <c r="L285" s="27">
        <v>45903</v>
      </c>
      <c r="M285" s="1">
        <f>Cotton_Buds[[#This Row],[Поръчано Количество]]</f>
        <v>50</v>
      </c>
      <c r="N285" s="1">
        <v>0.22</v>
      </c>
      <c r="O285" s="1">
        <f>Cotton_Buds[[#This Row],[Цена за 1 бр. в BGN]]*Cotton_Buds[[#This Row],[Поръчано Количество]]</f>
        <v>11</v>
      </c>
      <c r="P285" s="1"/>
      <c r="Q285" s="1"/>
      <c r="R285" s="1" t="str" cm="1">
        <f t="array" ref="R285">_xlfn.SWITCH(S285,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85" s="1"/>
    </row>
    <row r="286" spans="1:19" ht="15.75">
      <c r="A286" s="1" t="s">
        <v>952</v>
      </c>
      <c r="B286" s="1">
        <v>50</v>
      </c>
      <c r="C286" s="1">
        <v>50</v>
      </c>
      <c r="D286" s="27">
        <v>45905</v>
      </c>
      <c r="E286" s="1" t="s">
        <v>619</v>
      </c>
      <c r="F286" s="33">
        <v>45898.289143518516</v>
      </c>
      <c r="G286" s="1" t="s">
        <v>22</v>
      </c>
      <c r="H286" s="61">
        <v>187101</v>
      </c>
      <c r="I286" s="1" t="s">
        <v>58</v>
      </c>
      <c r="J286" s="27"/>
      <c r="K286" s="1"/>
      <c r="L286" s="27">
        <v>45903</v>
      </c>
      <c r="M286" s="1">
        <f>Cotton_Buds[[#This Row],[Поръчано Количество]]</f>
        <v>50</v>
      </c>
      <c r="N286" s="1">
        <v>0.25</v>
      </c>
      <c r="O286" s="1">
        <f>Cotton_Buds[[#This Row],[Цена за 1 бр. в BGN]]*Cotton_Buds[[#This Row],[Поръчано Количество]]</f>
        <v>12.5</v>
      </c>
      <c r="P286" s="1"/>
      <c r="Q286" s="1"/>
      <c r="R286" s="1" t="str" cm="1">
        <f t="array" ref="R286">_xlfn.SWITCH(S286,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86" s="1"/>
    </row>
    <row r="287" spans="1:19" ht="15.75">
      <c r="A287" s="1" t="s">
        <v>953</v>
      </c>
      <c r="B287" s="1">
        <v>50</v>
      </c>
      <c r="C287" s="1">
        <v>50</v>
      </c>
      <c r="D287" s="27">
        <v>45905</v>
      </c>
      <c r="E287" s="1" t="s">
        <v>619</v>
      </c>
      <c r="F287" s="33">
        <v>45898.289571759262</v>
      </c>
      <c r="G287" s="1" t="s">
        <v>22</v>
      </c>
      <c r="H287" s="61">
        <v>187101</v>
      </c>
      <c r="I287" s="1" t="s">
        <v>58</v>
      </c>
      <c r="J287" s="27"/>
      <c r="K287" s="1"/>
      <c r="L287" s="27">
        <v>45903</v>
      </c>
      <c r="M287" s="1">
        <f>Cotton_Buds[[#This Row],[Поръчано Количество]]</f>
        <v>50</v>
      </c>
      <c r="N287" s="1">
        <v>0.06</v>
      </c>
      <c r="O287" s="1">
        <f>Cotton_Buds[[#This Row],[Цена за 1 бр. в BGN]]*Cotton_Buds[[#This Row],[Поръчано Количество]]</f>
        <v>3</v>
      </c>
      <c r="P287" s="1"/>
      <c r="Q287" s="1"/>
      <c r="R287" s="1" t="str" cm="1">
        <f t="array" ref="R287">_xlfn.SWITCH(S287,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87" s="1"/>
    </row>
    <row r="288" spans="1:19" ht="15.75">
      <c r="A288" s="1" t="s">
        <v>954</v>
      </c>
      <c r="B288" s="1">
        <v>50</v>
      </c>
      <c r="C288" s="1">
        <v>50</v>
      </c>
      <c r="D288" s="27">
        <v>45905</v>
      </c>
      <c r="E288" s="1" t="s">
        <v>619</v>
      </c>
      <c r="F288" s="33">
        <v>45898.29</v>
      </c>
      <c r="G288" s="1" t="s">
        <v>22</v>
      </c>
      <c r="H288" s="61">
        <v>187101</v>
      </c>
      <c r="I288" s="1" t="s">
        <v>58</v>
      </c>
      <c r="J288" s="27"/>
      <c r="K288" s="1"/>
      <c r="L288" s="27">
        <v>45903</v>
      </c>
      <c r="M288" s="1">
        <f>Cotton_Buds[[#This Row],[Поръчано Количество]]</f>
        <v>50</v>
      </c>
      <c r="N288" s="1"/>
      <c r="O288" s="1">
        <f>Cotton_Buds[[#This Row],[Цена за 1 бр. в BGN]]*Cotton_Buds[[#This Row],[Поръчано Количество]]</f>
        <v>0</v>
      </c>
      <c r="P288" s="1"/>
      <c r="Q288" s="1"/>
      <c r="R288" s="1" t="str" cm="1">
        <f t="array" ref="R288">_xlfn.SWITCH(S288,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88" s="1"/>
    </row>
    <row r="289" spans="1:19">
      <c r="A289" s="1" t="s">
        <v>955</v>
      </c>
      <c r="B289" s="1">
        <v>50</v>
      </c>
      <c r="C289" s="1"/>
      <c r="D289" s="27">
        <v>45905</v>
      </c>
      <c r="E289" s="1" t="s">
        <v>619</v>
      </c>
      <c r="F289" s="33">
        <v>45898.290416666663</v>
      </c>
      <c r="G289" s="1" t="s">
        <v>22</v>
      </c>
      <c r="H289" s="1">
        <v>197470</v>
      </c>
      <c r="I289" s="1" t="s">
        <v>58</v>
      </c>
      <c r="J289" s="27">
        <v>45972</v>
      </c>
      <c r="K289" s="18">
        <v>45972</v>
      </c>
      <c r="L289" s="27"/>
      <c r="M289" s="1">
        <v>50</v>
      </c>
      <c r="N289" s="1">
        <f t="shared" si="3"/>
        <v>29.3352</v>
      </c>
      <c r="O289" s="1">
        <f>Cotton_Buds[[#This Row],[Цена за 1 бр. в BGN]]*Cotton_Buds[[#This Row],[Поръчано Количество]]</f>
        <v>0</v>
      </c>
      <c r="P289" s="1"/>
      <c r="Q289" s="1"/>
      <c r="R289" s="1" t="str" cm="1">
        <f t="array" ref="R289">_xlfn.SWITCH(S289,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89" s="1"/>
    </row>
    <row r="290" spans="1:19" ht="15.75">
      <c r="A290" s="1" t="s">
        <v>956</v>
      </c>
      <c r="B290" s="1">
        <v>50</v>
      </c>
      <c r="C290" s="1">
        <v>50</v>
      </c>
      <c r="D290" s="27">
        <v>45905</v>
      </c>
      <c r="E290" s="1" t="s">
        <v>619</v>
      </c>
      <c r="F290" s="33">
        <v>45898.290844907409</v>
      </c>
      <c r="G290" s="1" t="s">
        <v>22</v>
      </c>
      <c r="H290" s="61">
        <v>187101</v>
      </c>
      <c r="I290" s="1" t="s">
        <v>58</v>
      </c>
      <c r="J290" s="27"/>
      <c r="K290" s="1"/>
      <c r="L290" s="27">
        <v>45903</v>
      </c>
      <c r="M290" s="1">
        <f>Cotton_Buds[[#This Row],[Поръчано Количество]]</f>
        <v>50</v>
      </c>
      <c r="N290" s="1"/>
      <c r="O290" s="1">
        <f>Cotton_Buds[[#This Row],[Цена за 1 бр. в BGN]]*Cotton_Buds[[#This Row],[Поръчано Количество]]</f>
        <v>0</v>
      </c>
      <c r="P290" s="1"/>
      <c r="Q290" s="1"/>
      <c r="R290" s="1" t="str" cm="1">
        <f t="array" ref="R290">_xlfn.SWITCH(S290,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90" s="1"/>
    </row>
    <row r="291" spans="1:19" ht="15.75">
      <c r="A291" s="1" t="s">
        <v>957</v>
      </c>
      <c r="B291" s="1">
        <v>50</v>
      </c>
      <c r="C291" s="1">
        <v>50</v>
      </c>
      <c r="D291" s="27">
        <v>45905</v>
      </c>
      <c r="E291" s="1" t="s">
        <v>619</v>
      </c>
      <c r="F291" s="33">
        <v>45898.291145833333</v>
      </c>
      <c r="G291" s="1" t="s">
        <v>22</v>
      </c>
      <c r="H291" s="61">
        <v>187101</v>
      </c>
      <c r="I291" s="1" t="s">
        <v>58</v>
      </c>
      <c r="J291" s="27"/>
      <c r="K291" s="1"/>
      <c r="L291" s="27">
        <v>45903</v>
      </c>
      <c r="M291" s="1">
        <f>Cotton_Buds[[#This Row],[Поръчано Количество]]</f>
        <v>50</v>
      </c>
      <c r="N291" s="1"/>
      <c r="O291" s="1">
        <f>Cotton_Buds[[#This Row],[Цена за 1 бр. в BGN]]*Cotton_Buds[[#This Row],[Поръчано Количество]]</f>
        <v>0</v>
      </c>
      <c r="P291" s="1"/>
      <c r="Q291" s="1"/>
      <c r="R291" s="1" t="str" cm="1">
        <f t="array" ref="R291">_xlfn.SWITCH(S291,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91" s="1"/>
    </row>
    <row r="292" spans="1:19" ht="15.75">
      <c r="A292" s="1" t="s">
        <v>958</v>
      </c>
      <c r="B292" s="1">
        <v>50</v>
      </c>
      <c r="C292" s="1">
        <v>50</v>
      </c>
      <c r="D292" s="27">
        <v>45905</v>
      </c>
      <c r="E292" s="1" t="s">
        <v>619</v>
      </c>
      <c r="F292" s="33">
        <v>45898.29146990741</v>
      </c>
      <c r="G292" s="1" t="s">
        <v>22</v>
      </c>
      <c r="H292" s="61">
        <v>187101</v>
      </c>
      <c r="I292" s="1" t="s">
        <v>58</v>
      </c>
      <c r="J292" s="27"/>
      <c r="K292" s="1"/>
      <c r="L292" s="27">
        <v>45903</v>
      </c>
      <c r="M292" s="1">
        <f>Cotton_Buds[[#This Row],[Поръчано Количество]]</f>
        <v>50</v>
      </c>
      <c r="N292" s="1"/>
      <c r="O292" s="1">
        <f>Cotton_Buds[[#This Row],[Цена за 1 бр. в BGN]]*Cotton_Buds[[#This Row],[Поръчано Количество]]</f>
        <v>0</v>
      </c>
      <c r="P292" s="1"/>
      <c r="Q292" s="1"/>
      <c r="R292" s="1" t="str" cm="1">
        <f t="array" ref="R292">_xlfn.SWITCH(S292,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92" s="1"/>
    </row>
    <row r="293" spans="1:19" ht="15.75">
      <c r="A293" s="1" t="s">
        <v>959</v>
      </c>
      <c r="B293" s="1">
        <v>50</v>
      </c>
      <c r="C293" s="1">
        <v>50</v>
      </c>
      <c r="D293" s="27">
        <v>45905</v>
      </c>
      <c r="E293" s="1" t="s">
        <v>619</v>
      </c>
      <c r="F293" s="33">
        <v>45898.291724537034</v>
      </c>
      <c r="G293" s="1" t="s">
        <v>22</v>
      </c>
      <c r="H293" s="61">
        <v>187101</v>
      </c>
      <c r="I293" s="1" t="s">
        <v>58</v>
      </c>
      <c r="J293" s="27"/>
      <c r="K293" s="1"/>
      <c r="L293" s="27">
        <v>45903</v>
      </c>
      <c r="M293" s="1">
        <f>Cotton_Buds[[#This Row],[Поръчано Количество]]</f>
        <v>50</v>
      </c>
      <c r="N293" s="1"/>
      <c r="O293" s="1">
        <f>Cotton_Buds[[#This Row],[Цена за 1 бр. в BGN]]*Cotton_Buds[[#This Row],[Поръчано Количество]]</f>
        <v>0</v>
      </c>
      <c r="P293" s="1"/>
      <c r="Q293" s="1"/>
      <c r="R293" s="1" t="str" cm="1">
        <f t="array" ref="R293">_xlfn.SWITCH(S293,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93" s="1"/>
    </row>
    <row r="294" spans="1:19" ht="15.75">
      <c r="A294" s="1" t="s">
        <v>960</v>
      </c>
      <c r="B294" s="1">
        <v>50</v>
      </c>
      <c r="C294" s="1">
        <v>50</v>
      </c>
      <c r="D294" s="27">
        <v>45905</v>
      </c>
      <c r="E294" s="1" t="s">
        <v>619</v>
      </c>
      <c r="F294" s="33">
        <v>45898.292129629626</v>
      </c>
      <c r="G294" s="1" t="s">
        <v>22</v>
      </c>
      <c r="H294" s="61">
        <v>187101</v>
      </c>
      <c r="I294" s="1" t="s">
        <v>58</v>
      </c>
      <c r="J294" s="27"/>
      <c r="K294" s="1"/>
      <c r="L294" s="27">
        <v>45903</v>
      </c>
      <c r="M294" s="1">
        <f>Cotton_Buds[[#This Row],[Поръчано Количество]]</f>
        <v>50</v>
      </c>
      <c r="N294" s="1"/>
      <c r="O294" s="1">
        <f>Cotton_Buds[[#This Row],[Цена за 1 бр. в BGN]]*Cotton_Buds[[#This Row],[Поръчано Количество]]</f>
        <v>0</v>
      </c>
      <c r="P294" s="1"/>
      <c r="Q294" s="1"/>
      <c r="R294" s="1" t="str" cm="1">
        <f t="array" ref="R294">_xlfn.SWITCH(S294,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94" s="1"/>
    </row>
    <row r="295" spans="1:19" ht="15.75">
      <c r="A295" s="1" t="s">
        <v>874</v>
      </c>
      <c r="B295" s="1">
        <v>50</v>
      </c>
      <c r="C295" s="1">
        <v>50</v>
      </c>
      <c r="D295" s="27">
        <v>45905</v>
      </c>
      <c r="E295" s="1" t="s">
        <v>619</v>
      </c>
      <c r="F295" s="33">
        <v>45898.292592592596</v>
      </c>
      <c r="G295" s="1" t="s">
        <v>22</v>
      </c>
      <c r="H295" s="61">
        <v>187101</v>
      </c>
      <c r="I295" s="1" t="s">
        <v>58</v>
      </c>
      <c r="J295" s="27"/>
      <c r="K295" s="1"/>
      <c r="L295" s="27">
        <v>45903</v>
      </c>
      <c r="M295" s="1">
        <f>Cotton_Buds[[#This Row],[Поръчано Количество]]</f>
        <v>50</v>
      </c>
      <c r="N295" s="1"/>
      <c r="O295" s="1">
        <f>Cotton_Buds[[#This Row],[Цена за 1 бр. в BGN]]*Cotton_Buds[[#This Row],[Поръчано Количество]]</f>
        <v>0</v>
      </c>
      <c r="P295" s="1"/>
      <c r="Q295" s="1"/>
      <c r="R295" s="1" t="str" cm="1">
        <f t="array" ref="R295">_xlfn.SWITCH(S295,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95" s="1"/>
    </row>
    <row r="296" spans="1:19" ht="15.75">
      <c r="A296" s="1" t="s">
        <v>875</v>
      </c>
      <c r="B296" s="1">
        <v>50</v>
      </c>
      <c r="C296" s="1">
        <v>50</v>
      </c>
      <c r="D296" s="27">
        <v>45905</v>
      </c>
      <c r="E296" s="1" t="s">
        <v>619</v>
      </c>
      <c r="F296" s="33">
        <v>45898.292939814812</v>
      </c>
      <c r="G296" s="1" t="s">
        <v>22</v>
      </c>
      <c r="H296" s="61">
        <v>187101</v>
      </c>
      <c r="I296" s="1" t="s">
        <v>58</v>
      </c>
      <c r="J296" s="27"/>
      <c r="K296" s="1"/>
      <c r="L296" s="27">
        <v>45903</v>
      </c>
      <c r="M296" s="1">
        <f>Cotton_Buds[[#This Row],[Поръчано Количество]]</f>
        <v>50</v>
      </c>
      <c r="N296" s="1"/>
      <c r="O296" s="1">
        <f>Cotton_Buds[[#This Row],[Цена за 1 бр. в BGN]]*Cotton_Buds[[#This Row],[Поръчано Количество]]</f>
        <v>0</v>
      </c>
      <c r="P296" s="1"/>
      <c r="Q296" s="1"/>
      <c r="R296" s="1" t="str" cm="1">
        <f t="array" ref="R296">_xlfn.SWITCH(S296,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96" s="1"/>
    </row>
    <row r="297" spans="1:19" ht="15.75">
      <c r="A297" s="1" t="s">
        <v>876</v>
      </c>
      <c r="B297" s="1">
        <v>50</v>
      </c>
      <c r="C297" s="1">
        <v>50</v>
      </c>
      <c r="D297" s="27">
        <v>45905</v>
      </c>
      <c r="E297" s="1" t="s">
        <v>619</v>
      </c>
      <c r="F297" s="33">
        <v>45898.293287037035</v>
      </c>
      <c r="G297" s="1" t="s">
        <v>22</v>
      </c>
      <c r="H297" s="61">
        <v>187101</v>
      </c>
      <c r="I297" s="1" t="s">
        <v>58</v>
      </c>
      <c r="J297" s="27"/>
      <c r="K297" s="1"/>
      <c r="L297" s="27">
        <v>45903</v>
      </c>
      <c r="M297" s="1">
        <f>Cotton_Buds[[#This Row],[Поръчано Количество]]</f>
        <v>50</v>
      </c>
      <c r="N297" s="1"/>
      <c r="O297" s="1">
        <f>Cotton_Buds[[#This Row],[Цена за 1 бр. в BGN]]*Cotton_Buds[[#This Row],[Поръчано Количество]]</f>
        <v>0</v>
      </c>
      <c r="P297" s="1"/>
      <c r="Q297" s="1"/>
      <c r="R297" s="1" t="str" cm="1">
        <f t="array" ref="R297">_xlfn.SWITCH(S297,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97" s="1"/>
    </row>
    <row r="298" spans="1:19" ht="15.75">
      <c r="A298" s="1" t="s">
        <v>961</v>
      </c>
      <c r="B298" s="1">
        <v>50</v>
      </c>
      <c r="C298" s="1">
        <v>50</v>
      </c>
      <c r="D298" s="27">
        <v>45905</v>
      </c>
      <c r="E298" s="1" t="s">
        <v>619</v>
      </c>
      <c r="F298" s="33">
        <v>45898.293599537035</v>
      </c>
      <c r="G298" s="1" t="s">
        <v>22</v>
      </c>
      <c r="H298" s="61">
        <v>187101</v>
      </c>
      <c r="I298" s="1" t="s">
        <v>58</v>
      </c>
      <c r="J298" s="27"/>
      <c r="K298" s="1"/>
      <c r="L298" s="27">
        <v>45903</v>
      </c>
      <c r="M298" s="1">
        <f>Cotton_Buds[[#This Row],[Поръчано Количество]]</f>
        <v>50</v>
      </c>
      <c r="N298" s="1"/>
      <c r="O298" s="1">
        <f>Cotton_Buds[[#This Row],[Цена за 1 бр. в BGN]]*Cotton_Buds[[#This Row],[Поръчано Количество]]</f>
        <v>0</v>
      </c>
      <c r="P298" s="1"/>
      <c r="Q298" s="1"/>
      <c r="R298" s="1" t="str" cm="1">
        <f t="array" ref="R298">_xlfn.SWITCH(S298,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98" s="1"/>
    </row>
    <row r="299" spans="1:19" ht="15.75">
      <c r="A299" s="1" t="s">
        <v>962</v>
      </c>
      <c r="B299" s="1">
        <v>50</v>
      </c>
      <c r="C299" s="1">
        <v>50</v>
      </c>
      <c r="D299" s="27">
        <v>45905</v>
      </c>
      <c r="E299" s="1" t="s">
        <v>619</v>
      </c>
      <c r="F299" s="33">
        <v>45898.294074074074</v>
      </c>
      <c r="G299" s="1" t="s">
        <v>22</v>
      </c>
      <c r="H299" s="61">
        <v>187101</v>
      </c>
      <c r="I299" s="1" t="s">
        <v>58</v>
      </c>
      <c r="J299" s="27"/>
      <c r="K299" s="1"/>
      <c r="L299" s="27">
        <v>45903</v>
      </c>
      <c r="M299" s="1">
        <f>Cotton_Buds[[#This Row],[Поръчано Количество]]</f>
        <v>50</v>
      </c>
      <c r="N299" s="1"/>
      <c r="O299" s="1">
        <f>Cotton_Buds[[#This Row],[Цена за 1 бр. в BGN]]*Cotton_Buds[[#This Row],[Поръчано Количество]]</f>
        <v>0</v>
      </c>
      <c r="P299" s="1"/>
      <c r="Q299" s="1"/>
      <c r="R299" s="1" t="str" cm="1">
        <f t="array" ref="R299">_xlfn.SWITCH(S299,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99" s="1"/>
    </row>
    <row r="300" spans="1:19" ht="15.75">
      <c r="A300" s="1" t="s">
        <v>963</v>
      </c>
      <c r="B300" s="1">
        <v>50</v>
      </c>
      <c r="C300" s="1">
        <v>50</v>
      </c>
      <c r="D300" s="27">
        <v>45905</v>
      </c>
      <c r="E300" s="1" t="s">
        <v>619</v>
      </c>
      <c r="F300" s="33">
        <v>45898.294363425928</v>
      </c>
      <c r="G300" s="1" t="s">
        <v>22</v>
      </c>
      <c r="H300" s="61">
        <v>187101</v>
      </c>
      <c r="I300" s="1" t="s">
        <v>58</v>
      </c>
      <c r="J300" s="27"/>
      <c r="K300" s="1"/>
      <c r="L300" s="27">
        <v>45903</v>
      </c>
      <c r="M300" s="1">
        <f>Cotton_Buds[[#This Row],[Поръчано Количество]]</f>
        <v>50</v>
      </c>
      <c r="N300" s="1"/>
      <c r="O300" s="1">
        <f>Cotton_Buds[[#This Row],[Цена за 1 бр. в BGN]]*Cotton_Buds[[#This Row],[Поръчано Количество]]</f>
        <v>0</v>
      </c>
      <c r="P300" s="1"/>
      <c r="Q300" s="1"/>
      <c r="R300" s="1" t="str" cm="1">
        <f t="array" ref="R300">_xlfn.SWITCH(S300,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00" s="1"/>
    </row>
    <row r="301" spans="1:19" ht="15.75">
      <c r="A301" s="1" t="s">
        <v>964</v>
      </c>
      <c r="B301" s="1">
        <v>50</v>
      </c>
      <c r="C301" s="1">
        <v>50</v>
      </c>
      <c r="D301" s="27">
        <v>45905</v>
      </c>
      <c r="E301" s="1" t="s">
        <v>619</v>
      </c>
      <c r="F301" s="33">
        <v>45898.294814814813</v>
      </c>
      <c r="G301" s="1" t="s">
        <v>22</v>
      </c>
      <c r="H301" s="61">
        <v>187101</v>
      </c>
      <c r="I301" s="1" t="s">
        <v>58</v>
      </c>
      <c r="J301" s="27"/>
      <c r="K301" s="1"/>
      <c r="L301" s="27">
        <v>45903</v>
      </c>
      <c r="M301" s="1">
        <f>Cotton_Buds[[#This Row],[Поръчано Количество]]</f>
        <v>50</v>
      </c>
      <c r="N301" s="1"/>
      <c r="O301" s="1">
        <f>Cotton_Buds[[#This Row],[Цена за 1 бр. в BGN]]*Cotton_Buds[[#This Row],[Поръчано Количество]]</f>
        <v>0</v>
      </c>
      <c r="P301" s="1"/>
      <c r="Q301" s="1"/>
      <c r="R301" s="1" t="str" cm="1">
        <f t="array" ref="R301">_xlfn.SWITCH(S301,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01" s="1"/>
    </row>
    <row r="302" spans="1:19" ht="15.75">
      <c r="A302" s="1" t="s">
        <v>965</v>
      </c>
      <c r="B302" s="1">
        <v>50</v>
      </c>
      <c r="C302" s="1">
        <v>50</v>
      </c>
      <c r="D302" s="27">
        <v>45905</v>
      </c>
      <c r="E302" s="1" t="s">
        <v>619</v>
      </c>
      <c r="F302" s="33">
        <v>45898.295127314814</v>
      </c>
      <c r="G302" s="1" t="s">
        <v>22</v>
      </c>
      <c r="H302" s="61">
        <v>187101</v>
      </c>
      <c r="I302" s="1" t="s">
        <v>58</v>
      </c>
      <c r="J302" s="27"/>
      <c r="K302" s="1"/>
      <c r="L302" s="27">
        <v>45903</v>
      </c>
      <c r="M302" s="1">
        <f>Cotton_Buds[[#This Row],[Поръчано Количество]]</f>
        <v>50</v>
      </c>
      <c r="N302" s="1"/>
      <c r="O302" s="1">
        <f>Cotton_Buds[[#This Row],[Цена за 1 бр. в BGN]]*Cotton_Buds[[#This Row],[Поръчано Количество]]</f>
        <v>0</v>
      </c>
      <c r="P302" s="1"/>
      <c r="Q302" s="1"/>
      <c r="R302" s="1" t="str" cm="1">
        <f t="array" ref="R302">_xlfn.SWITCH(S302,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02" s="1"/>
    </row>
    <row r="303" spans="1:19" ht="15.75">
      <c r="A303" s="1" t="s">
        <v>966</v>
      </c>
      <c r="B303" s="1">
        <v>50</v>
      </c>
      <c r="C303" s="1">
        <v>50</v>
      </c>
      <c r="D303" s="27">
        <v>45905</v>
      </c>
      <c r="E303" s="1" t="s">
        <v>619</v>
      </c>
      <c r="F303" s="33">
        <v>45898.295520833337</v>
      </c>
      <c r="G303" s="1" t="s">
        <v>22</v>
      </c>
      <c r="H303" s="61">
        <v>187101</v>
      </c>
      <c r="I303" s="1" t="s">
        <v>58</v>
      </c>
      <c r="J303" s="27"/>
      <c r="K303" s="1"/>
      <c r="L303" s="27">
        <v>45903</v>
      </c>
      <c r="M303" s="1">
        <f>Cotton_Buds[[#This Row],[Поръчано Количество]]</f>
        <v>50</v>
      </c>
      <c r="N303" s="1"/>
      <c r="O303" s="1">
        <f>Cotton_Buds[[#This Row],[Цена за 1 бр. в BGN]]*Cotton_Buds[[#This Row],[Поръчано Количество]]</f>
        <v>0</v>
      </c>
      <c r="P303" s="1"/>
      <c r="Q303" s="1"/>
      <c r="R303" s="1" t="str" cm="1">
        <f t="array" ref="R303">_xlfn.SWITCH(S303,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03" s="1"/>
    </row>
    <row r="304" spans="1:19" ht="15.75">
      <c r="A304" s="1" t="s">
        <v>967</v>
      </c>
      <c r="B304" s="1">
        <v>50</v>
      </c>
      <c r="C304" s="1">
        <v>50</v>
      </c>
      <c r="D304" s="27">
        <v>45905</v>
      </c>
      <c r="E304" s="1" t="s">
        <v>619</v>
      </c>
      <c r="F304" s="33">
        <v>45898.296550925923</v>
      </c>
      <c r="G304" s="1" t="s">
        <v>22</v>
      </c>
      <c r="H304" s="61">
        <v>187101</v>
      </c>
      <c r="I304" s="1" t="s">
        <v>58</v>
      </c>
      <c r="J304" s="27"/>
      <c r="K304" s="1"/>
      <c r="L304" s="27">
        <v>45903</v>
      </c>
      <c r="M304" s="1">
        <f>Cotton_Buds[[#This Row],[Поръчано Количество]]</f>
        <v>50</v>
      </c>
      <c r="N304" s="1"/>
      <c r="O304" s="1">
        <f>Cotton_Buds[[#This Row],[Цена за 1 бр. в BGN]]*Cotton_Buds[[#This Row],[Поръчано Количество]]</f>
        <v>0</v>
      </c>
      <c r="P304" s="1"/>
      <c r="Q304" s="1"/>
      <c r="R304" s="1" t="str" cm="1">
        <f t="array" ref="R304">_xlfn.SWITCH(S304,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04" s="1"/>
    </row>
    <row r="305" spans="1:19" ht="15.75">
      <c r="A305" s="1" t="s">
        <v>968</v>
      </c>
      <c r="B305" s="1">
        <v>50</v>
      </c>
      <c r="C305" s="1">
        <v>50</v>
      </c>
      <c r="D305" s="27">
        <v>45905</v>
      </c>
      <c r="E305" s="1" t="s">
        <v>619</v>
      </c>
      <c r="F305" s="33">
        <v>45898.2969212963</v>
      </c>
      <c r="G305" s="1" t="s">
        <v>22</v>
      </c>
      <c r="H305" s="61">
        <v>187101</v>
      </c>
      <c r="I305" s="1" t="s">
        <v>58</v>
      </c>
      <c r="J305" s="27"/>
      <c r="K305" s="1"/>
      <c r="L305" s="27">
        <v>45903</v>
      </c>
      <c r="M305" s="1">
        <f>Cotton_Buds[[#This Row],[Поръчано Количество]]</f>
        <v>50</v>
      </c>
      <c r="N305" s="1"/>
      <c r="O305" s="1">
        <f>Cotton_Buds[[#This Row],[Цена за 1 бр. в BGN]]*Cotton_Buds[[#This Row],[Поръчано Количество]]</f>
        <v>0</v>
      </c>
      <c r="P305" s="1"/>
      <c r="Q305" s="1"/>
      <c r="R305" s="1" t="str" cm="1">
        <f t="array" ref="R305">_xlfn.SWITCH(S305,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05" s="1"/>
    </row>
    <row r="306" spans="1:19" ht="15.75">
      <c r="A306" s="1" t="s">
        <v>969</v>
      </c>
      <c r="B306" s="1">
        <v>50</v>
      </c>
      <c r="C306" s="1">
        <v>50</v>
      </c>
      <c r="D306" s="27">
        <v>45905</v>
      </c>
      <c r="E306" s="1" t="s">
        <v>619</v>
      </c>
      <c r="F306" s="33">
        <v>45898.297372685185</v>
      </c>
      <c r="G306" s="1" t="s">
        <v>22</v>
      </c>
      <c r="H306" s="61">
        <v>187101</v>
      </c>
      <c r="I306" s="1" t="s">
        <v>58</v>
      </c>
      <c r="J306" s="27"/>
      <c r="K306" s="1"/>
      <c r="L306" s="27">
        <v>45903</v>
      </c>
      <c r="M306" s="1">
        <f>Cotton_Buds[[#This Row],[Поръчано Количество]]</f>
        <v>50</v>
      </c>
      <c r="N306" s="1"/>
      <c r="O306" s="1">
        <f>Cotton_Buds[[#This Row],[Цена за 1 бр. в BGN]]*Cotton_Buds[[#This Row],[Поръчано Количество]]</f>
        <v>0</v>
      </c>
      <c r="P306" s="1"/>
      <c r="Q306" s="1"/>
      <c r="R306" s="1" t="str" cm="1">
        <f t="array" ref="R306">_xlfn.SWITCH(S306,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06" s="1"/>
    </row>
    <row r="307" spans="1:19" ht="15.75">
      <c r="A307" s="1" t="s">
        <v>970</v>
      </c>
      <c r="B307" s="1">
        <v>50</v>
      </c>
      <c r="C307" s="1">
        <v>50</v>
      </c>
      <c r="D307" s="27">
        <v>45905</v>
      </c>
      <c r="E307" s="1" t="s">
        <v>619</v>
      </c>
      <c r="F307" s="33">
        <v>45898.297812500001</v>
      </c>
      <c r="G307" s="1" t="s">
        <v>22</v>
      </c>
      <c r="H307" s="61">
        <v>187101</v>
      </c>
      <c r="I307" s="1" t="s">
        <v>58</v>
      </c>
      <c r="J307" s="27"/>
      <c r="K307" s="1"/>
      <c r="L307" s="27">
        <v>45903</v>
      </c>
      <c r="M307" s="1">
        <f>Cotton_Buds[[#This Row],[Поръчано Количество]]</f>
        <v>50</v>
      </c>
      <c r="N307" s="1"/>
      <c r="O307" s="1">
        <f>Cotton_Buds[[#This Row],[Цена за 1 бр. в BGN]]*Cotton_Buds[[#This Row],[Поръчано Количество]]</f>
        <v>0</v>
      </c>
      <c r="P307" s="1"/>
      <c r="Q307" s="1"/>
      <c r="R307" s="1" t="str" cm="1">
        <f t="array" ref="R307">_xlfn.SWITCH(S307,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07" s="1"/>
    </row>
    <row r="308" spans="1:19" ht="15.75">
      <c r="A308" s="1" t="s">
        <v>971</v>
      </c>
      <c r="B308" s="1">
        <v>50</v>
      </c>
      <c r="C308" s="1">
        <v>50</v>
      </c>
      <c r="D308" s="27">
        <v>45905</v>
      </c>
      <c r="E308" s="1" t="s">
        <v>619</v>
      </c>
      <c r="F308" s="33">
        <v>45898.29828703704</v>
      </c>
      <c r="G308" s="1" t="s">
        <v>22</v>
      </c>
      <c r="H308" s="61">
        <v>187101</v>
      </c>
      <c r="I308" s="1" t="s">
        <v>58</v>
      </c>
      <c r="J308" s="27"/>
      <c r="K308" s="1"/>
      <c r="L308" s="27">
        <v>45903</v>
      </c>
      <c r="M308" s="1">
        <f>Cotton_Buds[[#This Row],[Поръчано Количество]]</f>
        <v>50</v>
      </c>
      <c r="N308" s="1"/>
      <c r="O308" s="1">
        <f>Cotton_Buds[[#This Row],[Цена за 1 бр. в BGN]]*Cotton_Buds[[#This Row],[Поръчано Количество]]</f>
        <v>0</v>
      </c>
      <c r="P308" s="1"/>
      <c r="Q308" s="1"/>
      <c r="R308" s="1" t="str" cm="1">
        <f t="array" ref="R308">_xlfn.SWITCH(S308,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08" s="1"/>
    </row>
    <row r="309" spans="1:19" ht="15.75">
      <c r="A309" s="1" t="s">
        <v>971</v>
      </c>
      <c r="B309" s="1">
        <v>50</v>
      </c>
      <c r="C309" s="1">
        <v>50</v>
      </c>
      <c r="D309" s="27">
        <v>45905</v>
      </c>
      <c r="E309" s="1" t="s">
        <v>619</v>
      </c>
      <c r="F309" s="33">
        <v>45898.298668981479</v>
      </c>
      <c r="G309" s="1" t="s">
        <v>22</v>
      </c>
      <c r="H309" s="61">
        <v>187101</v>
      </c>
      <c r="I309" s="1" t="s">
        <v>58</v>
      </c>
      <c r="J309" s="27"/>
      <c r="K309" s="1"/>
      <c r="L309" s="27">
        <v>45903</v>
      </c>
      <c r="M309" s="1">
        <f>Cotton_Buds[[#This Row],[Поръчано Количество]]</f>
        <v>50</v>
      </c>
      <c r="N309" s="1"/>
      <c r="O309" s="1">
        <f>Cotton_Buds[[#This Row],[Цена за 1 бр. в BGN]]*Cotton_Buds[[#This Row],[Поръчано Количество]]</f>
        <v>0</v>
      </c>
      <c r="P309" s="1"/>
      <c r="Q309" s="1"/>
      <c r="R309" s="1" t="str" cm="1">
        <f t="array" ref="R309">_xlfn.SWITCH(S309,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09" s="1"/>
    </row>
    <row r="310" spans="1:19" ht="15.75">
      <c r="A310" s="1" t="s">
        <v>972</v>
      </c>
      <c r="B310" s="1">
        <v>50</v>
      </c>
      <c r="C310" s="1">
        <v>50</v>
      </c>
      <c r="D310" s="27">
        <v>45905</v>
      </c>
      <c r="E310" s="1" t="s">
        <v>619</v>
      </c>
      <c r="F310" s="33">
        <v>45898.299386574072</v>
      </c>
      <c r="G310" s="1" t="s">
        <v>22</v>
      </c>
      <c r="H310" s="61">
        <v>187101</v>
      </c>
      <c r="I310" s="1" t="s">
        <v>58</v>
      </c>
      <c r="J310" s="27"/>
      <c r="K310" s="1"/>
      <c r="L310" s="27">
        <v>45903</v>
      </c>
      <c r="M310" s="1">
        <f>Cotton_Buds[[#This Row],[Поръчано Количество]]</f>
        <v>50</v>
      </c>
      <c r="N310" s="1"/>
      <c r="O310" s="1">
        <f>Cotton_Buds[[#This Row],[Цена за 1 бр. в BGN]]*Cotton_Buds[[#This Row],[Поръчано Количество]]</f>
        <v>0</v>
      </c>
      <c r="P310" s="1"/>
      <c r="Q310" s="1"/>
      <c r="R310" s="1" t="str" cm="1">
        <f t="array" ref="R310">_xlfn.SWITCH(S310,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10" s="1"/>
    </row>
    <row r="311" spans="1:19" ht="15.75">
      <c r="A311" s="1" t="s">
        <v>973</v>
      </c>
      <c r="B311" s="1">
        <v>50</v>
      </c>
      <c r="C311" s="1">
        <v>50</v>
      </c>
      <c r="D311" s="27">
        <v>45905</v>
      </c>
      <c r="E311" s="1" t="s">
        <v>619</v>
      </c>
      <c r="F311" s="33">
        <v>45898.302152777775</v>
      </c>
      <c r="G311" s="1" t="s">
        <v>22</v>
      </c>
      <c r="H311" s="61">
        <v>187101</v>
      </c>
      <c r="I311" s="1" t="s">
        <v>58</v>
      </c>
      <c r="J311" s="27"/>
      <c r="K311" s="1"/>
      <c r="L311" s="27">
        <v>45903</v>
      </c>
      <c r="M311" s="1">
        <f>Cotton_Buds[[#This Row],[Поръчано Количество]]</f>
        <v>50</v>
      </c>
      <c r="N311" s="1"/>
      <c r="O311" s="1">
        <f>Cotton_Buds[[#This Row],[Цена за 1 бр. в BGN]]*Cotton_Buds[[#This Row],[Поръчано Количество]]</f>
        <v>0</v>
      </c>
      <c r="P311" s="1"/>
      <c r="Q311" s="1"/>
      <c r="R311" s="1" t="str" cm="1">
        <f t="array" ref="R311">_xlfn.SWITCH(S311,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11" s="1"/>
    </row>
    <row r="312" spans="1:19" ht="15.75">
      <c r="A312" s="1" t="s">
        <v>974</v>
      </c>
      <c r="B312" s="1">
        <v>50</v>
      </c>
      <c r="C312" s="1">
        <v>50</v>
      </c>
      <c r="D312" s="27">
        <v>45905</v>
      </c>
      <c r="E312" s="1" t="s">
        <v>619</v>
      </c>
      <c r="F312" s="33">
        <v>45898.302847222221</v>
      </c>
      <c r="G312" s="1" t="s">
        <v>22</v>
      </c>
      <c r="H312" s="61">
        <v>187101</v>
      </c>
      <c r="I312" s="1" t="s">
        <v>58</v>
      </c>
      <c r="J312" s="27"/>
      <c r="K312" s="1"/>
      <c r="L312" s="27">
        <v>45903</v>
      </c>
      <c r="M312" s="1">
        <f>Cotton_Buds[[#This Row],[Поръчано Количество]]</f>
        <v>50</v>
      </c>
      <c r="N312" s="1"/>
      <c r="O312" s="1">
        <f>Cotton_Buds[[#This Row],[Цена за 1 бр. в BGN]]*Cotton_Buds[[#This Row],[Поръчано Количество]]</f>
        <v>0</v>
      </c>
      <c r="P312" s="1"/>
      <c r="Q312" s="1"/>
      <c r="R312" s="1" t="str" cm="1">
        <f t="array" ref="R312">_xlfn.SWITCH(S312,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12" s="1"/>
    </row>
    <row r="313" spans="1:19" ht="15.75">
      <c r="A313" s="1" t="s">
        <v>975</v>
      </c>
      <c r="B313" s="1">
        <v>30</v>
      </c>
      <c r="C313" s="1">
        <v>30</v>
      </c>
      <c r="D313" s="27">
        <v>45905</v>
      </c>
      <c r="E313" s="1" t="s">
        <v>619</v>
      </c>
      <c r="F313" s="33">
        <v>45898.303506944445</v>
      </c>
      <c r="G313" s="1" t="s">
        <v>22</v>
      </c>
      <c r="H313" s="61">
        <v>187101</v>
      </c>
      <c r="I313" s="1" t="s">
        <v>58</v>
      </c>
      <c r="J313" s="27"/>
      <c r="K313" s="1"/>
      <c r="L313" s="27">
        <v>45903</v>
      </c>
      <c r="M313" s="1">
        <f>Cotton_Buds[[#This Row],[Поръчано Количество]]</f>
        <v>30</v>
      </c>
      <c r="N313" s="1"/>
      <c r="O313" s="1">
        <f>Cotton_Buds[[#This Row],[Цена за 1 бр. в BGN]]*Cotton_Buds[[#This Row],[Поръчано Количество]]</f>
        <v>0</v>
      </c>
      <c r="P313" s="1"/>
      <c r="Q313" s="1"/>
      <c r="R313" s="1" t="str" cm="1">
        <f t="array" ref="R313">_xlfn.SWITCH(S313,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13" s="1"/>
    </row>
    <row r="314" spans="1:19" ht="15.75">
      <c r="A314" s="1" t="s">
        <v>976</v>
      </c>
      <c r="B314" s="1">
        <v>30</v>
      </c>
      <c r="C314" s="1">
        <v>30</v>
      </c>
      <c r="D314" s="27">
        <v>45905</v>
      </c>
      <c r="E314" s="1" t="s">
        <v>619</v>
      </c>
      <c r="F314" s="33">
        <v>45898.303865740738</v>
      </c>
      <c r="G314" s="1" t="s">
        <v>22</v>
      </c>
      <c r="H314" s="61">
        <v>187101</v>
      </c>
      <c r="I314" s="1" t="s">
        <v>58</v>
      </c>
      <c r="J314" s="27"/>
      <c r="K314" s="1"/>
      <c r="L314" s="27">
        <v>45903</v>
      </c>
      <c r="M314" s="1">
        <f>Cotton_Buds[[#This Row],[Поръчано Количество]]</f>
        <v>30</v>
      </c>
      <c r="N314" s="1"/>
      <c r="O314" s="1">
        <f>Cotton_Buds[[#This Row],[Цена за 1 бр. в BGN]]*Cotton_Buds[[#This Row],[Поръчано Количество]]</f>
        <v>0</v>
      </c>
      <c r="P314" s="1"/>
      <c r="Q314" s="1"/>
      <c r="R314" s="1" t="str" cm="1">
        <f t="array" ref="R314">_xlfn.SWITCH(S314,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14" s="1"/>
    </row>
    <row r="315" spans="1:19" ht="15.75">
      <c r="A315" s="1" t="s">
        <v>977</v>
      </c>
      <c r="B315" s="1">
        <v>40</v>
      </c>
      <c r="C315" s="1">
        <v>40</v>
      </c>
      <c r="D315" s="27">
        <v>45905</v>
      </c>
      <c r="E315" s="1" t="s">
        <v>619</v>
      </c>
      <c r="F315" s="33">
        <v>45898.3044212963</v>
      </c>
      <c r="G315" s="1" t="s">
        <v>22</v>
      </c>
      <c r="H315" s="61">
        <v>187101</v>
      </c>
      <c r="I315" s="1" t="s">
        <v>58</v>
      </c>
      <c r="J315" s="27"/>
      <c r="K315" s="1"/>
      <c r="L315" s="27">
        <v>45903</v>
      </c>
      <c r="M315" s="1">
        <f>Cotton_Buds[[#This Row],[Поръчано Количество]]</f>
        <v>40</v>
      </c>
      <c r="N315" s="1"/>
      <c r="O315" s="1">
        <f>Cotton_Buds[[#This Row],[Цена за 1 бр. в BGN]]*Cotton_Buds[[#This Row],[Поръчано Количество]]</f>
        <v>0</v>
      </c>
      <c r="P315" s="1"/>
      <c r="Q315" s="1"/>
      <c r="R315" s="1" t="str" cm="1">
        <f t="array" ref="R315">_xlfn.SWITCH(S315,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15" s="1"/>
    </row>
    <row r="316" spans="1:19" ht="15.75">
      <c r="A316" s="1" t="s">
        <v>978</v>
      </c>
      <c r="B316" s="1">
        <v>50</v>
      </c>
      <c r="C316" s="1">
        <v>50</v>
      </c>
      <c r="D316" s="27">
        <v>45905</v>
      </c>
      <c r="E316" s="1" t="s">
        <v>619</v>
      </c>
      <c r="F316" s="33">
        <v>45898.305034722223</v>
      </c>
      <c r="G316" s="1" t="s">
        <v>22</v>
      </c>
      <c r="H316" s="61">
        <v>187101</v>
      </c>
      <c r="I316" s="1" t="s">
        <v>58</v>
      </c>
      <c r="J316" s="27"/>
      <c r="K316" s="1"/>
      <c r="L316" s="27">
        <v>45903</v>
      </c>
      <c r="M316" s="1">
        <f>Cotton_Buds[[#This Row],[Поръчано Количество]]</f>
        <v>50</v>
      </c>
      <c r="N316" s="1"/>
      <c r="O316" s="1">
        <f>Cotton_Buds[[#This Row],[Цена за 1 бр. в BGN]]*Cotton_Buds[[#This Row],[Поръчано Количество]]</f>
        <v>0</v>
      </c>
      <c r="P316" s="1"/>
      <c r="Q316" s="1"/>
      <c r="R316" s="1" t="str" cm="1">
        <f t="array" ref="R316">_xlfn.SWITCH(S316,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16" s="1"/>
    </row>
    <row r="317" spans="1:19" ht="15.75">
      <c r="A317" s="1" t="s">
        <v>559</v>
      </c>
      <c r="B317" s="1">
        <v>50</v>
      </c>
      <c r="C317" s="1">
        <v>50</v>
      </c>
      <c r="D317" s="27">
        <v>45905</v>
      </c>
      <c r="E317" s="1" t="s">
        <v>619</v>
      </c>
      <c r="F317" s="33">
        <v>45898.305358796293</v>
      </c>
      <c r="G317" s="1" t="s">
        <v>22</v>
      </c>
      <c r="H317" s="61">
        <v>187101</v>
      </c>
      <c r="I317" s="1" t="s">
        <v>58</v>
      </c>
      <c r="J317" s="27"/>
      <c r="K317" s="1"/>
      <c r="L317" s="27">
        <v>45903</v>
      </c>
      <c r="M317" s="1">
        <f>Cotton_Buds[[#This Row],[Поръчано Количество]]</f>
        <v>50</v>
      </c>
      <c r="N317" s="1"/>
      <c r="O317" s="1">
        <f>Cotton_Buds[[#This Row],[Цена за 1 бр. в BGN]]*Cotton_Buds[[#This Row],[Поръчано Количество]]</f>
        <v>0</v>
      </c>
      <c r="P317" s="1"/>
      <c r="Q317" s="1"/>
      <c r="R317" s="1" t="str" cm="1">
        <f t="array" ref="R317">_xlfn.SWITCH(S317,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17" s="1"/>
    </row>
    <row r="318" spans="1:19" ht="30">
      <c r="A318" s="1" t="s">
        <v>979</v>
      </c>
      <c r="B318" s="1">
        <v>1</v>
      </c>
      <c r="C318" s="1">
        <v>1</v>
      </c>
      <c r="D318" s="27">
        <v>45904</v>
      </c>
      <c r="E318" s="1" t="s">
        <v>610</v>
      </c>
      <c r="F318" s="33">
        <v>45902.389120370368</v>
      </c>
      <c r="G318" s="1" t="s">
        <v>22</v>
      </c>
      <c r="H318" s="1" t="s">
        <v>980</v>
      </c>
      <c r="I318" s="1" t="s">
        <v>981</v>
      </c>
      <c r="J318" s="27"/>
      <c r="K318" s="1"/>
      <c r="L318" s="27">
        <v>45905</v>
      </c>
      <c r="M318" s="1">
        <v>1</v>
      </c>
      <c r="N318" s="1">
        <v>781.58</v>
      </c>
      <c r="O318" s="1">
        <f>Cotton_Buds[[#This Row],[Цена за 1 бр. в BGN]]*Cotton_Buds[[#This Row],[Поръчано Количество]]</f>
        <v>781.58</v>
      </c>
      <c r="P318" s="1"/>
      <c r="Q318" s="1"/>
      <c r="R318" s="1" t="str" cm="1">
        <f t="array" ref="R318">_xlfn.SWITCH(S318,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18" s="1"/>
    </row>
    <row r="319" spans="1:19">
      <c r="A319" s="1" t="s">
        <v>982</v>
      </c>
      <c r="B319" s="1">
        <v>2</v>
      </c>
      <c r="C319" s="1">
        <v>2</v>
      </c>
      <c r="D319" s="27">
        <v>45908</v>
      </c>
      <c r="E319" s="1" t="s">
        <v>63</v>
      </c>
      <c r="F319" s="33">
        <v>45904.384479166663</v>
      </c>
      <c r="G319" s="1" t="s">
        <v>22</v>
      </c>
      <c r="H319" s="1"/>
      <c r="I319" s="1" t="s">
        <v>58</v>
      </c>
      <c r="J319" s="27"/>
      <c r="K319" s="1"/>
      <c r="L319" s="27"/>
      <c r="M319" s="1"/>
      <c r="N319" s="1"/>
      <c r="O319" s="1">
        <f>Cotton_Buds[[#This Row],[Цена за 1 бр. в BGN]]*Cotton_Buds[[#This Row],[Поръчано Количество]]</f>
        <v>0</v>
      </c>
      <c r="P319" s="1"/>
      <c r="Q319" s="1"/>
      <c r="R319" s="1" t="str" cm="1">
        <f t="array" ref="R319">_xlfn.SWITCH(S319,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19" s="1"/>
    </row>
    <row r="320" spans="1:19">
      <c r="A320" s="1" t="s">
        <v>983</v>
      </c>
      <c r="B320" s="1">
        <v>1</v>
      </c>
      <c r="C320" s="1"/>
      <c r="D320" s="27">
        <v>45961</v>
      </c>
      <c r="E320" s="1" t="s">
        <v>610</v>
      </c>
      <c r="F320" s="33">
        <v>45909.182893518519</v>
      </c>
      <c r="G320" s="1" t="s">
        <v>22</v>
      </c>
      <c r="H320" s="1" t="s">
        <v>984</v>
      </c>
      <c r="I320" s="1"/>
      <c r="J320" s="27"/>
      <c r="K320" s="1"/>
      <c r="L320" s="27"/>
      <c r="M320" s="1"/>
      <c r="N320" s="1"/>
      <c r="O320" s="1">
        <f>Cotton_Buds[[#This Row],[Цена за 1 бр. в BGN]]*Cotton_Buds[[#This Row],[Поръчано Количество]]</f>
        <v>0</v>
      </c>
      <c r="P320" s="1"/>
      <c r="Q320" s="1"/>
      <c r="R320" s="1" t="str" cm="1">
        <f t="array" ref="R320">_xlfn.SWITCH(S320,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20" s="1"/>
    </row>
    <row r="321" spans="1:19" ht="30">
      <c r="A321" s="1" t="s">
        <v>985</v>
      </c>
      <c r="B321" s="1">
        <v>3</v>
      </c>
      <c r="C321" s="1"/>
      <c r="D321" s="27">
        <v>45913</v>
      </c>
      <c r="E321" s="1" t="s">
        <v>602</v>
      </c>
      <c r="F321" s="33">
        <v>45912.243483796294</v>
      </c>
      <c r="G321" s="1" t="s">
        <v>22</v>
      </c>
      <c r="H321" s="1" t="s">
        <v>986</v>
      </c>
      <c r="I321" s="1"/>
      <c r="J321" s="27"/>
      <c r="K321" s="1"/>
      <c r="L321" s="27"/>
      <c r="M321" s="1"/>
      <c r="N321" s="1"/>
      <c r="O321" s="1">
        <f>Cotton_Buds[[#This Row],[Цена за 1 бр. в BGN]]*Cotton_Buds[[#This Row],[Поръчано Количество]]</f>
        <v>0</v>
      </c>
      <c r="P321" s="1"/>
      <c r="Q321" s="1"/>
      <c r="R321" s="1" t="str" cm="1">
        <f t="array" ref="R321">_xlfn.SWITCH(S321,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21" s="1"/>
    </row>
    <row r="322" spans="1:19">
      <c r="A322" s="1" t="s">
        <v>987</v>
      </c>
      <c r="B322" s="1">
        <v>20</v>
      </c>
      <c r="C322" s="1"/>
      <c r="D322" s="27">
        <v>45919</v>
      </c>
      <c r="E322" s="1" t="s">
        <v>602</v>
      </c>
      <c r="F322" s="33">
        <v>45916.458043981482</v>
      </c>
      <c r="G322" s="1" t="s">
        <v>22</v>
      </c>
      <c r="H322" s="1"/>
      <c r="I322" s="1" t="s">
        <v>88</v>
      </c>
      <c r="J322" s="27">
        <v>45919</v>
      </c>
      <c r="K322" s="1"/>
      <c r="L322" s="27"/>
      <c r="M322" s="1"/>
      <c r="N322" s="1"/>
      <c r="O322" s="1">
        <f>Cotton_Buds[[#This Row],[Цена за 1 бр. в BGN]]*Cotton_Buds[[#This Row],[Поръчано Количество]]</f>
        <v>0</v>
      </c>
      <c r="P322" s="1"/>
      <c r="Q322" s="1"/>
      <c r="R322" s="1" t="str" cm="1">
        <f t="array" ref="R322">_xlfn.SWITCH(S322,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22" s="1"/>
    </row>
    <row r="323" spans="1:19" ht="30">
      <c r="A323" s="1" t="s">
        <v>988</v>
      </c>
      <c r="B323" s="1">
        <v>2</v>
      </c>
      <c r="C323" s="1">
        <v>2</v>
      </c>
      <c r="D323" s="27">
        <v>45933</v>
      </c>
      <c r="E323" s="1" t="s">
        <v>595</v>
      </c>
      <c r="F323" s="33">
        <v>45918.483356481483</v>
      </c>
      <c r="G323" s="1" t="s">
        <v>22</v>
      </c>
      <c r="H323" s="1" t="s">
        <v>989</v>
      </c>
      <c r="I323" s="1" t="s">
        <v>104</v>
      </c>
      <c r="J323" s="27">
        <v>45931</v>
      </c>
      <c r="K323" s="1"/>
      <c r="L323" s="27"/>
      <c r="M323" s="1"/>
      <c r="N323" s="1">
        <v>192.28</v>
      </c>
      <c r="O323" s="1">
        <f>Cotton_Buds[[#This Row],[Цена за 1 бр. в BGN]]*Cotton_Buds[[#This Row],[Поръчано Количество]]</f>
        <v>384.56</v>
      </c>
      <c r="P323" s="1"/>
      <c r="Q323" s="1"/>
      <c r="R323" s="1" t="str" cm="1">
        <f t="array" ref="R323">_xlfn.SWITCH(S323,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23" s="1"/>
    </row>
    <row r="324" spans="1:19" ht="30">
      <c r="A324" s="1" t="s">
        <v>990</v>
      </c>
      <c r="B324" s="1">
        <v>2</v>
      </c>
      <c r="C324" s="1">
        <v>2</v>
      </c>
      <c r="D324" s="27">
        <v>45933</v>
      </c>
      <c r="E324" s="1" t="s">
        <v>595</v>
      </c>
      <c r="F324" s="33">
        <v>45918.483622685184</v>
      </c>
      <c r="G324" s="1" t="s">
        <v>22</v>
      </c>
      <c r="H324" s="1" t="s">
        <v>989</v>
      </c>
      <c r="I324" s="1" t="s">
        <v>104</v>
      </c>
      <c r="J324" s="27">
        <v>45931</v>
      </c>
      <c r="K324" s="1"/>
      <c r="L324" s="27"/>
      <c r="M324" s="1"/>
      <c r="N324" s="1">
        <v>203.2</v>
      </c>
      <c r="O324" s="1">
        <f>Cotton_Buds[[#This Row],[Цена за 1 бр. в BGN]]*Cotton_Buds[[#This Row],[Поръчано Количество]]</f>
        <v>406.4</v>
      </c>
      <c r="P324" s="1"/>
      <c r="Q324" s="1"/>
      <c r="R324" s="1" t="str" cm="1">
        <f t="array" ref="R324">_xlfn.SWITCH(S324,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24" s="1"/>
    </row>
    <row r="325" spans="1:19" ht="30">
      <c r="A325" s="1" t="s">
        <v>991</v>
      </c>
      <c r="B325" s="1">
        <v>4</v>
      </c>
      <c r="C325" s="1">
        <v>4</v>
      </c>
      <c r="D325" s="27">
        <v>45933</v>
      </c>
      <c r="E325" s="1" t="s">
        <v>602</v>
      </c>
      <c r="F325" s="33">
        <v>45925.281041666669</v>
      </c>
      <c r="G325" s="1" t="s">
        <v>22</v>
      </c>
      <c r="H325" s="1" t="s">
        <v>992</v>
      </c>
      <c r="I325" s="1" t="s">
        <v>625</v>
      </c>
      <c r="J325" s="27">
        <v>45940</v>
      </c>
      <c r="K325" s="1"/>
      <c r="L325" s="27"/>
      <c r="M325" s="1"/>
      <c r="N325" s="1">
        <v>109.71</v>
      </c>
      <c r="O325" s="1">
        <f>Cotton_Buds[[#This Row],[Цена за 1 бр. в BGN]]*Cotton_Buds[[#This Row],[Поръчано Количество]]</f>
        <v>438.84</v>
      </c>
      <c r="P325" s="1" t="s">
        <v>993</v>
      </c>
      <c r="Q325" s="1"/>
      <c r="R325" s="1" t="str" cm="1">
        <f t="array" ref="R325">_xlfn.SWITCH(S325,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25" s="1"/>
    </row>
    <row r="326" spans="1:19">
      <c r="A326" s="1" t="s">
        <v>994</v>
      </c>
      <c r="B326" s="1">
        <v>2</v>
      </c>
      <c r="C326" s="1"/>
      <c r="D326" s="27">
        <v>45950</v>
      </c>
      <c r="E326" s="1" t="s">
        <v>602</v>
      </c>
      <c r="F326" s="33">
        <v>45929.37777777778</v>
      </c>
      <c r="G326" s="1" t="s">
        <v>22</v>
      </c>
      <c r="H326" s="1" t="s">
        <v>995</v>
      </c>
      <c r="I326" s="1" t="s">
        <v>633</v>
      </c>
      <c r="J326" s="27"/>
      <c r="K326" s="1"/>
      <c r="L326" s="27"/>
      <c r="M326" s="1"/>
      <c r="N326" s="1"/>
      <c r="O326" s="1">
        <f>Cotton_Buds[[#This Row],[Цена за 1 бр. в BGN]]*Cotton_Buds[[#This Row],[Поръчано Количество]]</f>
        <v>0</v>
      </c>
      <c r="P326" s="1"/>
      <c r="Q326" s="1"/>
      <c r="R326" s="1" t="str" cm="1">
        <f t="array" ref="R326">_xlfn.SWITCH(S326,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26" s="1"/>
    </row>
    <row r="327" spans="1:19">
      <c r="A327" s="1" t="s">
        <v>715</v>
      </c>
      <c r="B327" s="1">
        <v>1</v>
      </c>
      <c r="C327" s="1"/>
      <c r="D327" s="27">
        <v>45933</v>
      </c>
      <c r="E327" s="1" t="s">
        <v>602</v>
      </c>
      <c r="F327" s="33">
        <v>45929.37777777778</v>
      </c>
      <c r="G327" s="1" t="s">
        <v>22</v>
      </c>
      <c r="H327" s="1" t="s">
        <v>996</v>
      </c>
      <c r="I327" s="1" t="s">
        <v>120</v>
      </c>
      <c r="J327" s="27"/>
      <c r="K327" s="1"/>
      <c r="L327" s="27"/>
      <c r="M327" s="1"/>
      <c r="N327" s="1"/>
      <c r="O327" s="1">
        <f>Cotton_Buds[[#This Row],[Цена за 1 бр. в BGN]]*Cotton_Buds[[#This Row],[Поръчано Количество]]</f>
        <v>0</v>
      </c>
      <c r="P327" s="1"/>
      <c r="Q327" s="1"/>
      <c r="R327" s="1" t="str" cm="1">
        <f t="array" ref="R327">_xlfn.SWITCH(S327,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27" s="1"/>
    </row>
    <row r="328" spans="1:19">
      <c r="A328" s="1" t="s">
        <v>997</v>
      </c>
      <c r="B328" s="1">
        <v>4</v>
      </c>
      <c r="C328" s="1"/>
      <c r="D328" s="27">
        <v>45942</v>
      </c>
      <c r="E328" s="1" t="s">
        <v>602</v>
      </c>
      <c r="F328" s="33">
        <v>45930.422222222223</v>
      </c>
      <c r="G328" s="1" t="s">
        <v>22</v>
      </c>
      <c r="H328" s="1" t="s">
        <v>998</v>
      </c>
      <c r="I328" s="1" t="s">
        <v>101</v>
      </c>
      <c r="J328" s="27"/>
      <c r="K328" s="1"/>
      <c r="L328" s="27"/>
      <c r="M328" s="1"/>
      <c r="N328" s="1"/>
      <c r="O328" s="1"/>
      <c r="P328" s="1"/>
      <c r="Q328" s="1"/>
      <c r="R328" s="1" t="str" cm="1">
        <f t="array" ref="R328">_xlfn.SWITCH(S328,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28" s="1"/>
    </row>
    <row r="329" spans="1:19" ht="30">
      <c r="A329" s="1" t="s">
        <v>999</v>
      </c>
      <c r="B329" s="1">
        <v>4</v>
      </c>
      <c r="C329" s="1"/>
      <c r="D329" s="27">
        <v>45942</v>
      </c>
      <c r="E329" s="1" t="s">
        <v>595</v>
      </c>
      <c r="F329" s="33">
        <v>45930.422222222223</v>
      </c>
      <c r="G329" s="1" t="s">
        <v>22</v>
      </c>
      <c r="H329" s="1" t="s">
        <v>998</v>
      </c>
      <c r="I329" s="1" t="s">
        <v>101</v>
      </c>
      <c r="J329" s="27"/>
      <c r="K329" s="1"/>
      <c r="L329" s="27"/>
      <c r="M329" s="1"/>
      <c r="N329" s="1"/>
      <c r="O329" s="1">
        <f>Cotton_Buds[[#This Row],[Цена за 1 бр. в BGN]]*Cotton_Buds[[#This Row],[Поръчано Количество]]</f>
        <v>0</v>
      </c>
      <c r="P329" s="1"/>
      <c r="Q329" s="1"/>
      <c r="R329" s="1" t="str" cm="1">
        <f t="array" ref="R329">_xlfn.SWITCH(S329,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29" s="1"/>
    </row>
    <row r="330" spans="1:19">
      <c r="A330" s="1" t="s">
        <v>1000</v>
      </c>
      <c r="B330" s="1">
        <v>3</v>
      </c>
      <c r="C330" s="1">
        <v>2</v>
      </c>
      <c r="D330" s="27"/>
      <c r="E330" s="1" t="s">
        <v>602</v>
      </c>
      <c r="F330" s="33">
        <v>45930.563194444447</v>
      </c>
      <c r="G330" s="1" t="s">
        <v>22</v>
      </c>
      <c r="H330" s="1" t="s">
        <v>998</v>
      </c>
      <c r="I330" s="1" t="s">
        <v>261</v>
      </c>
      <c r="J330" s="27">
        <v>45932</v>
      </c>
      <c r="K330" s="1"/>
      <c r="L330" s="27">
        <v>45932</v>
      </c>
      <c r="M330" s="1">
        <v>2</v>
      </c>
      <c r="N330" s="1">
        <v>432</v>
      </c>
      <c r="O330" s="1">
        <f>Cotton_Buds[[#This Row],[Цена за 1 бр. в BGN]]*Cotton_Buds[[#This Row],[Поръчано Количество]]</f>
        <v>864</v>
      </c>
      <c r="P330" s="1"/>
      <c r="Q330" s="1"/>
      <c r="R330" s="1" t="str" cm="1">
        <f t="array" ref="R330">_xlfn.SWITCH(S330,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30" s="1"/>
    </row>
    <row r="331" spans="1:19">
      <c r="A331" s="1" t="s">
        <v>1001</v>
      </c>
      <c r="B331" s="1">
        <v>30</v>
      </c>
      <c r="C331" s="1"/>
      <c r="D331" s="27">
        <v>45933</v>
      </c>
      <c r="E331" s="1" t="s">
        <v>619</v>
      </c>
      <c r="F331" s="33">
        <v>45926.226921296293</v>
      </c>
      <c r="G331" s="1" t="s">
        <v>22</v>
      </c>
      <c r="H331" s="39" t="s">
        <v>902</v>
      </c>
      <c r="I331" s="1" t="s">
        <v>35</v>
      </c>
      <c r="J331" s="27"/>
      <c r="K331" s="1"/>
      <c r="L331" s="27">
        <v>46066</v>
      </c>
      <c r="M331" s="1"/>
      <c r="N331" s="1"/>
      <c r="O331" s="1">
        <f>Cotton_Buds[[#This Row],[Цена за 1 бр. в BGN]]*Cotton_Buds[[#This Row],[Поръчано Количество]]</f>
        <v>0</v>
      </c>
      <c r="P331" s="1"/>
      <c r="Q331" s="1"/>
      <c r="R331" s="1" t="str" cm="1">
        <f t="array" ref="R331">_xlfn.SWITCH(S331,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31" s="1"/>
    </row>
    <row r="332" spans="1:19">
      <c r="A332" s="1" t="s">
        <v>1002</v>
      </c>
      <c r="B332" s="1">
        <v>20</v>
      </c>
      <c r="C332" s="1"/>
      <c r="D332" s="27">
        <v>45933</v>
      </c>
      <c r="E332" s="1" t="s">
        <v>619</v>
      </c>
      <c r="F332" s="33">
        <v>45926.437361111108</v>
      </c>
      <c r="G332" s="1"/>
      <c r="H332" s="1"/>
      <c r="I332" s="1"/>
      <c r="J332" s="27"/>
      <c r="K332" s="1"/>
      <c r="L332" s="27"/>
      <c r="M332" s="1"/>
      <c r="N332" s="1"/>
      <c r="O332" s="1">
        <f>Cotton_Buds[[#This Row],[Цена за 1 бр. в BGN]]*Cotton_Buds[[#This Row],[Поръчано Количество]]</f>
        <v>0</v>
      </c>
      <c r="P332" s="1"/>
      <c r="Q332" s="1"/>
      <c r="R332" s="1" t="str" cm="1">
        <f t="array" ref="R332">_xlfn.SWITCH(S332,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32" s="1"/>
    </row>
    <row r="333" spans="1:19">
      <c r="A333" s="1" t="s">
        <v>1003</v>
      </c>
      <c r="B333" s="1">
        <v>20</v>
      </c>
      <c r="C333" s="1"/>
      <c r="D333" s="27">
        <v>45933</v>
      </c>
      <c r="E333" s="1" t="s">
        <v>619</v>
      </c>
      <c r="F333" s="33">
        <v>45926.437916666669</v>
      </c>
      <c r="G333" s="1"/>
      <c r="H333" s="1"/>
      <c r="I333" s="1"/>
      <c r="J333" s="27"/>
      <c r="K333" s="1"/>
      <c r="L333" s="27"/>
      <c r="M333" s="1"/>
      <c r="N333" s="1"/>
      <c r="O333" s="1">
        <f>Cotton_Buds[[#This Row],[Цена за 1 бр. в BGN]]*Cotton_Buds[[#This Row],[Поръчано Количество]]</f>
        <v>0</v>
      </c>
      <c r="P333" s="1"/>
      <c r="Q333" s="1"/>
      <c r="R333" s="1" t="str" cm="1">
        <f t="array" ref="R333">_xlfn.SWITCH(S333,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33" s="1"/>
    </row>
    <row r="334" spans="1:19" ht="30">
      <c r="A334" s="1" t="s">
        <v>1004</v>
      </c>
      <c r="B334" s="1">
        <v>2</v>
      </c>
      <c r="C334" s="1">
        <v>2</v>
      </c>
      <c r="D334" s="27">
        <v>45947</v>
      </c>
      <c r="E334" s="1" t="s">
        <v>602</v>
      </c>
      <c r="F334" s="33">
        <v>45936.208877314813</v>
      </c>
      <c r="G334" s="1" t="s">
        <v>22</v>
      </c>
      <c r="H334" s="1" t="s">
        <v>1005</v>
      </c>
      <c r="I334" s="1" t="s">
        <v>261</v>
      </c>
      <c r="J334" s="27">
        <v>45995</v>
      </c>
      <c r="K334" s="1"/>
      <c r="L334" s="27"/>
      <c r="M334" s="1"/>
      <c r="N334" s="1">
        <v>369</v>
      </c>
      <c r="O334" s="1">
        <f>Cotton_Buds[[#This Row],[Цена за 1 бр. в BGN]]*Cotton_Buds[[#This Row],[Поръчано Количество]]</f>
        <v>738</v>
      </c>
      <c r="P334" s="1"/>
      <c r="Q334" s="1"/>
      <c r="R334" s="1" t="str" cm="1">
        <f t="array" ref="R334">_xlfn.SWITCH(S334,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34" s="1"/>
    </row>
    <row r="335" spans="1:19" ht="30">
      <c r="A335" s="1" t="s">
        <v>1006</v>
      </c>
      <c r="B335" s="1">
        <v>1</v>
      </c>
      <c r="C335" s="1">
        <v>1</v>
      </c>
      <c r="D335" s="27">
        <v>45968</v>
      </c>
      <c r="E335" s="1" t="s">
        <v>602</v>
      </c>
      <c r="F335" s="33">
        <v>45950.284768518519</v>
      </c>
      <c r="G335" s="1" t="s">
        <v>22</v>
      </c>
      <c r="H335" s="1" t="s">
        <v>1007</v>
      </c>
      <c r="I335" s="1" t="s">
        <v>46</v>
      </c>
      <c r="J335" s="27">
        <v>46071</v>
      </c>
      <c r="K335" s="1"/>
      <c r="L335" s="27"/>
      <c r="M335" s="1"/>
      <c r="N335" s="1"/>
      <c r="O335" s="1">
        <f>Cotton_Buds[[#This Row],[Цена за 1 бр. в BGN]]*Cotton_Buds[[#This Row],[Поръчано Количество]]</f>
        <v>0</v>
      </c>
      <c r="P335" s="1"/>
      <c r="Q335" s="1"/>
      <c r="R335" s="1" t="str" cm="1">
        <f t="array" ref="R335">_xlfn.SWITCH(S335,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35" s="1"/>
    </row>
    <row r="336" spans="1:19" ht="30">
      <c r="A336" s="1" t="s">
        <v>1008</v>
      </c>
      <c r="B336" s="1">
        <v>4</v>
      </c>
      <c r="C336" s="1"/>
      <c r="D336" s="27">
        <v>45954</v>
      </c>
      <c r="E336" s="1" t="s">
        <v>1009</v>
      </c>
      <c r="F336" s="33">
        <v>45950.314155092594</v>
      </c>
      <c r="G336" s="1"/>
      <c r="H336" s="1"/>
      <c r="I336" s="1" t="s">
        <v>24</v>
      </c>
      <c r="J336" s="27"/>
      <c r="K336" s="1"/>
      <c r="L336" s="27"/>
      <c r="M336" s="1"/>
      <c r="N336" s="1"/>
      <c r="O336" s="1">
        <f>Cotton_Buds[[#This Row],[Цена за 1 бр. в BGN]]*Cotton_Buds[[#This Row],[Поръчано Количество]]</f>
        <v>0</v>
      </c>
      <c r="P336" s="1"/>
      <c r="Q336" s="1"/>
      <c r="R336" s="1" t="str" cm="1">
        <f t="array" ref="R336">_xlfn.SWITCH(S336,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36" s="1"/>
    </row>
    <row r="337" spans="1:19">
      <c r="A337" s="1" t="s">
        <v>1010</v>
      </c>
      <c r="B337" s="1">
        <v>2</v>
      </c>
      <c r="C337" s="1">
        <v>2</v>
      </c>
      <c r="D337" s="27">
        <v>45954</v>
      </c>
      <c r="E337" s="1" t="s">
        <v>619</v>
      </c>
      <c r="F337" s="33">
        <v>45951.205393518518</v>
      </c>
      <c r="G337" s="1" t="s">
        <v>22</v>
      </c>
      <c r="H337" s="1"/>
      <c r="I337" s="1" t="s">
        <v>58</v>
      </c>
      <c r="J337" s="27"/>
      <c r="K337" s="1"/>
      <c r="L337" s="27">
        <v>45951</v>
      </c>
      <c r="M337" s="1"/>
      <c r="N337" s="1"/>
      <c r="O337" s="1">
        <f>Cotton_Buds[[#This Row],[Цена за 1 бр. в BGN]]*Cotton_Buds[[#This Row],[Поръчано Количество]]</f>
        <v>0</v>
      </c>
      <c r="P337" s="1"/>
      <c r="Q337" s="1"/>
      <c r="R337" s="1" t="str" cm="1">
        <f t="array" ref="R337">_xlfn.SWITCH(S337,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37" s="1"/>
    </row>
    <row r="338" spans="1:19" ht="30">
      <c r="A338" s="1" t="s">
        <v>1011</v>
      </c>
      <c r="B338" s="1">
        <v>1</v>
      </c>
      <c r="C338" s="1"/>
      <c r="D338" s="27">
        <v>45961</v>
      </c>
      <c r="E338" s="1" t="s">
        <v>595</v>
      </c>
      <c r="F338" s="33">
        <v>45951.206145833334</v>
      </c>
      <c r="G338" s="1"/>
      <c r="H338" s="1"/>
      <c r="I338" s="1"/>
      <c r="J338" s="27"/>
      <c r="K338" s="1"/>
      <c r="L338" s="27"/>
      <c r="M338" s="1"/>
      <c r="N338" s="1"/>
      <c r="O338" s="1">
        <f>Cotton_Buds[[#This Row],[Цена за 1 бр. в BGN]]*Cotton_Buds[[#This Row],[Поръчано Количество]]</f>
        <v>0</v>
      </c>
      <c r="P338" s="1"/>
      <c r="Q338" s="1"/>
      <c r="R338" s="1" t="str" cm="1">
        <f t="array" ref="R338">_xlfn.SWITCH(S338,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38" s="1"/>
    </row>
    <row r="339" spans="1:19">
      <c r="A339" s="1" t="s">
        <v>1012</v>
      </c>
      <c r="B339" s="1">
        <v>20</v>
      </c>
      <c r="C339" s="1">
        <v>20</v>
      </c>
      <c r="D339" s="27">
        <v>45961</v>
      </c>
      <c r="E339" s="1" t="s">
        <v>619</v>
      </c>
      <c r="F339" s="33">
        <v>45951.206388888888</v>
      </c>
      <c r="G339" s="1" t="s">
        <v>22</v>
      </c>
      <c r="H339" s="1"/>
      <c r="I339" s="1" t="s">
        <v>101</v>
      </c>
      <c r="J339" s="27">
        <v>45951</v>
      </c>
      <c r="K339" s="1"/>
      <c r="L339" s="27">
        <v>45951</v>
      </c>
      <c r="M339" s="1"/>
      <c r="N339" s="1"/>
      <c r="O339" s="1">
        <f>Cotton_Buds[[#This Row],[Цена за 1 бр. в BGN]]*Cotton_Buds[[#This Row],[Поръчано Количество]]</f>
        <v>0</v>
      </c>
      <c r="P339" s="1"/>
      <c r="Q339" s="1"/>
      <c r="R339" s="1" t="str" cm="1">
        <f t="array" ref="R339">_xlfn.SWITCH(S339,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39" s="1"/>
    </row>
    <row r="340" spans="1:19" ht="30">
      <c r="A340" s="1" t="s">
        <v>1013</v>
      </c>
      <c r="B340" s="1">
        <v>18</v>
      </c>
      <c r="C340" s="1">
        <v>18</v>
      </c>
      <c r="D340" s="27">
        <v>45951</v>
      </c>
      <c r="E340" s="1" t="s">
        <v>595</v>
      </c>
      <c r="F340" s="33">
        <v>45951.509166666663</v>
      </c>
      <c r="G340" s="1" t="s">
        <v>22</v>
      </c>
      <c r="H340" s="1"/>
      <c r="I340" s="1" t="s">
        <v>101</v>
      </c>
      <c r="J340" s="27">
        <v>45951</v>
      </c>
      <c r="K340" s="1"/>
      <c r="L340" s="27">
        <v>45951</v>
      </c>
      <c r="M340" s="1"/>
      <c r="N340" s="1"/>
      <c r="O340" s="1">
        <f>Cotton_Buds[[#This Row],[Цена за 1 бр. в BGN]]*Cotton_Buds[[#This Row],[Поръчано Количество]]</f>
        <v>0</v>
      </c>
      <c r="P340" s="1"/>
      <c r="Q340" s="1"/>
      <c r="R340" s="1" t="str" cm="1">
        <f t="array" ref="R340">_xlfn.SWITCH(S340,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40" s="1"/>
    </row>
    <row r="341" spans="1:19">
      <c r="A341" s="1" t="s">
        <v>1014</v>
      </c>
      <c r="B341" s="1">
        <v>2</v>
      </c>
      <c r="C341" s="1"/>
      <c r="D341" s="27">
        <v>45961</v>
      </c>
      <c r="E341" s="1" t="s">
        <v>619</v>
      </c>
      <c r="F341" s="33">
        <v>45952.307222222225</v>
      </c>
      <c r="G341" s="1" t="s">
        <v>22</v>
      </c>
      <c r="H341" s="1"/>
      <c r="I341" s="1"/>
      <c r="J341" s="27"/>
      <c r="K341" s="1"/>
      <c r="L341" s="27"/>
      <c r="M341" s="1"/>
      <c r="N341" s="1"/>
      <c r="O341" s="1">
        <f>Cotton_Buds[[#This Row],[Цена за 1 бр. в BGN]]*Cotton_Buds[[#This Row],[Поръчано Количество]]</f>
        <v>0</v>
      </c>
      <c r="P341" s="1"/>
      <c r="Q341" s="1"/>
      <c r="R341" s="1" t="str" cm="1">
        <f t="array" ref="R341">_xlfn.SWITCH(S341,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41" s="1"/>
    </row>
    <row r="342" spans="1:19" ht="30">
      <c r="A342" s="1" t="s">
        <v>1015</v>
      </c>
      <c r="B342" s="1">
        <v>30</v>
      </c>
      <c r="C342" s="1"/>
      <c r="D342" s="27">
        <v>45961</v>
      </c>
      <c r="E342" s="1" t="s">
        <v>595</v>
      </c>
      <c r="F342" s="33">
        <v>45953.347662037035</v>
      </c>
      <c r="G342" s="1" t="s">
        <v>22</v>
      </c>
      <c r="H342" s="1" t="s">
        <v>1016</v>
      </c>
      <c r="I342" s="1" t="s">
        <v>772</v>
      </c>
      <c r="J342" s="27"/>
      <c r="K342" s="1"/>
      <c r="L342" s="27">
        <v>45965</v>
      </c>
      <c r="M342" s="1"/>
      <c r="N342" s="1"/>
      <c r="O342" s="1">
        <f>Cotton_Buds[[#This Row],[Цена за 1 бр. в BGN]]*Cotton_Buds[[#This Row],[Поръчано Количество]]</f>
        <v>0</v>
      </c>
      <c r="P342" s="1"/>
      <c r="Q342" s="1"/>
      <c r="R342" s="1" t="str" cm="1">
        <f t="array" ref="R342">_xlfn.SWITCH(S342,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42" s="1"/>
    </row>
    <row r="343" spans="1:19">
      <c r="A343" s="1" t="s">
        <v>1017</v>
      </c>
      <c r="B343" s="1">
        <v>4</v>
      </c>
      <c r="C343" s="1">
        <v>4</v>
      </c>
      <c r="D343" s="27">
        <v>45961</v>
      </c>
      <c r="E343" s="1" t="s">
        <v>619</v>
      </c>
      <c r="F343" s="33">
        <v>45954.185196759259</v>
      </c>
      <c r="G343" s="1" t="s">
        <v>22</v>
      </c>
      <c r="H343" s="1" t="s">
        <v>1018</v>
      </c>
      <c r="I343" s="1" t="s">
        <v>104</v>
      </c>
      <c r="J343" s="27" t="s">
        <v>1019</v>
      </c>
      <c r="K343" s="1"/>
      <c r="L343" s="27"/>
      <c r="M343" s="1"/>
      <c r="N343" s="1">
        <v>99.08</v>
      </c>
      <c r="O343" s="1">
        <f>Cotton_Buds[[#This Row],[Цена за 1 бр. в BGN]]*Cotton_Buds[[#This Row],[Поръчано Количество]]</f>
        <v>396.32</v>
      </c>
      <c r="P343" s="1"/>
      <c r="Q343" s="1"/>
      <c r="R343" s="1" t="str" cm="1">
        <f t="array" ref="R343">_xlfn.SWITCH(S343,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43" s="5" t="s">
        <v>1020</v>
      </c>
    </row>
    <row r="344" spans="1:19">
      <c r="A344" s="1" t="s">
        <v>1021</v>
      </c>
      <c r="B344" s="1">
        <v>6</v>
      </c>
      <c r="C344" s="1">
        <v>6</v>
      </c>
      <c r="D344" s="27">
        <v>45961</v>
      </c>
      <c r="E344" s="1" t="s">
        <v>602</v>
      </c>
      <c r="F344" s="33">
        <v>45957.31354166667</v>
      </c>
      <c r="G344" s="1" t="s">
        <v>22</v>
      </c>
      <c r="H344" s="1" t="s">
        <v>1022</v>
      </c>
      <c r="I344" s="1" t="s">
        <v>24</v>
      </c>
      <c r="J344" s="27"/>
      <c r="K344" s="1"/>
      <c r="L344" s="27"/>
      <c r="M344" s="1"/>
      <c r="N344" s="1">
        <v>72.67</v>
      </c>
      <c r="O344" s="1">
        <f>Cotton_Buds[[#This Row],[Цена за 1 бр. в BGN]]*Cotton_Buds[[#This Row],[Поръчано Количество]]</f>
        <v>436.02</v>
      </c>
      <c r="P344" s="1"/>
      <c r="Q344" s="1"/>
      <c r="R344" s="1" t="str" cm="1">
        <f t="array" ref="R344">_xlfn.SWITCH(S344,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44" s="1"/>
    </row>
    <row r="345" spans="1:19">
      <c r="A345" s="1" t="s">
        <v>1023</v>
      </c>
      <c r="B345" s="1">
        <v>10</v>
      </c>
      <c r="C345" s="1"/>
      <c r="D345" s="27">
        <v>45961</v>
      </c>
      <c r="E345" s="1" t="s">
        <v>619</v>
      </c>
      <c r="F345" s="33">
        <v>45957.48574074074</v>
      </c>
      <c r="G345" s="1"/>
      <c r="H345" s="1"/>
      <c r="I345" s="1"/>
      <c r="J345" s="27"/>
      <c r="K345" s="1"/>
      <c r="L345" s="27"/>
      <c r="M345" s="1"/>
      <c r="N345" s="1"/>
      <c r="O345" s="1">
        <f>Cotton_Buds[[#This Row],[Цена за 1 бр. в BGN]]*Cotton_Buds[[#This Row],[Поръчано Количество]]</f>
        <v>0</v>
      </c>
      <c r="P345" s="1"/>
      <c r="Q345" s="1"/>
      <c r="R345" s="1" t="str" cm="1">
        <f t="array" ref="R345">_xlfn.SWITCH(S345,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45" s="1"/>
    </row>
    <row r="346" spans="1:19" ht="45">
      <c r="A346" s="1" t="s">
        <v>1024</v>
      </c>
      <c r="B346" s="1">
        <v>1</v>
      </c>
      <c r="C346" s="1"/>
      <c r="D346" s="27">
        <v>45975</v>
      </c>
      <c r="E346" s="1" t="s">
        <v>1009</v>
      </c>
      <c r="F346" s="33">
        <v>45958.455462962964</v>
      </c>
      <c r="G346" s="1" t="s">
        <v>22</v>
      </c>
      <c r="H346" s="1" t="s">
        <v>1025</v>
      </c>
      <c r="I346" s="1" t="s">
        <v>261</v>
      </c>
      <c r="J346" s="27"/>
      <c r="K346" s="1"/>
      <c r="L346" s="27"/>
      <c r="M346" s="1"/>
      <c r="N346" s="1"/>
      <c r="O346" s="1">
        <f>Cotton_Buds[[#This Row],[Цена за 1 бр. в BGN]]*Cotton_Buds[[#This Row],[Поръчано Количество]]</f>
        <v>0</v>
      </c>
      <c r="P346" s="1"/>
      <c r="Q346" s="1"/>
      <c r="R346" s="1" t="str" cm="1">
        <f t="array" ref="R346">_xlfn.SWITCH(S346,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46" s="1"/>
    </row>
    <row r="347" spans="1:19" ht="30">
      <c r="A347" s="1" t="s">
        <v>1026</v>
      </c>
      <c r="B347" s="1">
        <v>1</v>
      </c>
      <c r="C347" s="1"/>
      <c r="D347" s="27">
        <v>45976</v>
      </c>
      <c r="E347" s="1" t="s">
        <v>595</v>
      </c>
      <c r="F347" s="33">
        <v>45959.474224537036</v>
      </c>
      <c r="G347" s="1" t="s">
        <v>235</v>
      </c>
      <c r="H347" s="1" t="s">
        <v>1027</v>
      </c>
      <c r="I347" s="1" t="s">
        <v>772</v>
      </c>
      <c r="J347" s="27">
        <v>46071</v>
      </c>
      <c r="K347" s="1"/>
      <c r="L347" s="27"/>
      <c r="M347" s="1"/>
      <c r="N347" s="1"/>
      <c r="O347" s="1">
        <f>Cotton_Buds[[#This Row],[Цена за 1 бр. в BGN]]*Cotton_Buds[[#This Row],[Поръчано Количество]]</f>
        <v>0</v>
      </c>
      <c r="P347" s="1"/>
      <c r="Q347" s="1"/>
      <c r="R347" s="1" t="str" cm="1">
        <f t="array" ref="R347">_xlfn.SWITCH(S347,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47" s="1"/>
    </row>
    <row r="348" spans="1:19" ht="30">
      <c r="A348" s="1" t="s">
        <v>1028</v>
      </c>
      <c r="B348" s="1">
        <v>2</v>
      </c>
      <c r="C348" s="1">
        <v>2</v>
      </c>
      <c r="D348" s="27">
        <v>45966</v>
      </c>
      <c r="E348" s="1" t="s">
        <v>619</v>
      </c>
      <c r="F348" s="33">
        <v>45961.530752314815</v>
      </c>
      <c r="G348" s="1" t="s">
        <v>22</v>
      </c>
      <c r="H348" s="1" t="s">
        <v>1029</v>
      </c>
      <c r="I348" s="1" t="s">
        <v>46</v>
      </c>
      <c r="J348" s="27">
        <v>45975</v>
      </c>
      <c r="K348" s="1"/>
      <c r="L348" s="27">
        <v>45978</v>
      </c>
      <c r="M348" s="1">
        <v>2</v>
      </c>
      <c r="N348" s="1">
        <f>225/2</f>
        <v>112.5</v>
      </c>
      <c r="O348" s="1">
        <f>Cotton_Buds[[#This Row],[Цена за 1 бр. в BGN]]*Cotton_Buds[[#This Row],[Поръчано Количество]]</f>
        <v>225</v>
      </c>
      <c r="P348" s="1"/>
      <c r="Q348" s="1"/>
      <c r="R348" s="1" t="str" cm="1">
        <f t="array" ref="R348">_xlfn.SWITCH(S348,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48" s="5" t="s">
        <v>1020</v>
      </c>
    </row>
    <row r="349" spans="1:19" ht="45">
      <c r="A349" s="1" t="s">
        <v>1030</v>
      </c>
      <c r="B349" s="1">
        <v>1</v>
      </c>
      <c r="C349" s="1">
        <v>1</v>
      </c>
      <c r="D349" s="27">
        <v>45968</v>
      </c>
      <c r="E349" s="1" t="s">
        <v>595</v>
      </c>
      <c r="F349" s="33">
        <v>45961.531712962962</v>
      </c>
      <c r="G349" s="1" t="s">
        <v>22</v>
      </c>
      <c r="H349" s="1" t="s">
        <v>1029</v>
      </c>
      <c r="I349" s="1" t="s">
        <v>46</v>
      </c>
      <c r="J349" s="27">
        <v>45975</v>
      </c>
      <c r="K349" s="1"/>
      <c r="L349" s="27">
        <v>45978</v>
      </c>
      <c r="M349" s="1">
        <v>1</v>
      </c>
      <c r="N349" s="1">
        <v>72</v>
      </c>
      <c r="O349" s="1">
        <f>Cotton_Buds[[#This Row],[Цена за 1 бр. в BGN]]*Cotton_Buds[[#This Row],[Поръчано Количество]]</f>
        <v>72</v>
      </c>
      <c r="P349" s="1"/>
      <c r="Q349" s="1"/>
      <c r="R349" s="1" t="str" cm="1">
        <f t="array" ref="R349">_xlfn.SWITCH(S349,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49" s="5" t="s">
        <v>1020</v>
      </c>
    </row>
    <row r="350" spans="1:19" ht="45">
      <c r="A350" s="1" t="s">
        <v>1031</v>
      </c>
      <c r="B350" s="1">
        <v>2</v>
      </c>
      <c r="C350" s="1">
        <v>2</v>
      </c>
      <c r="D350" s="27">
        <v>45975</v>
      </c>
      <c r="E350" s="1" t="s">
        <v>610</v>
      </c>
      <c r="F350" s="33">
        <v>45964.418969907405</v>
      </c>
      <c r="G350" s="1" t="s">
        <v>22</v>
      </c>
      <c r="H350" s="1" t="s">
        <v>1029</v>
      </c>
      <c r="I350" s="1" t="s">
        <v>46</v>
      </c>
      <c r="J350" s="27">
        <v>45989</v>
      </c>
      <c r="K350" s="1"/>
      <c r="L350" s="27">
        <v>45978</v>
      </c>
      <c r="M350" s="1">
        <v>2</v>
      </c>
      <c r="N350" s="1">
        <v>1570</v>
      </c>
      <c r="O350" s="1">
        <f>Cotton_Buds[[#This Row],[Цена за 1 бр. в BGN]]*Cotton_Buds[[#This Row],[Поръчано Количество]]</f>
        <v>3140</v>
      </c>
      <c r="P350" s="1"/>
      <c r="Q350" s="1"/>
      <c r="R350" s="1" t="str" cm="1">
        <f t="array" ref="R350">_xlfn.SWITCH(S350,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50" s="5" t="s">
        <v>1020</v>
      </c>
    </row>
    <row r="351" spans="1:19" ht="30">
      <c r="A351" s="1" t="s">
        <v>1032</v>
      </c>
      <c r="B351" s="1">
        <v>1</v>
      </c>
      <c r="C351" s="1"/>
      <c r="D351" s="27">
        <v>45968</v>
      </c>
      <c r="E351" s="1" t="s">
        <v>602</v>
      </c>
      <c r="F351" s="33">
        <v>45967.450416666667</v>
      </c>
      <c r="G351" s="1" t="s">
        <v>22</v>
      </c>
      <c r="H351" s="1" t="s">
        <v>1033</v>
      </c>
      <c r="I351" s="1"/>
      <c r="J351" s="27"/>
      <c r="K351" s="1"/>
      <c r="L351" s="27"/>
      <c r="M351" s="1"/>
      <c r="N351" s="1"/>
      <c r="O351" s="1">
        <f>Cotton_Buds[[#This Row],[Цена за 1 бр. в BGN]]*Cotton_Buds[[#This Row],[Поръчано Количество]]</f>
        <v>0</v>
      </c>
      <c r="P351" s="1"/>
      <c r="Q351" s="1"/>
      <c r="R351" s="1" t="str" cm="1">
        <f t="array" ref="R351">_xlfn.SWITCH(S351,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51" s="5" t="s">
        <v>461</v>
      </c>
    </row>
    <row r="352" spans="1:19" ht="30">
      <c r="A352" s="1" t="s">
        <v>1034</v>
      </c>
      <c r="B352" s="1">
        <v>1</v>
      </c>
      <c r="C352" s="1"/>
      <c r="D352" s="27">
        <v>45968</v>
      </c>
      <c r="E352" s="1" t="s">
        <v>602</v>
      </c>
      <c r="F352" s="33">
        <v>45967.450937499998</v>
      </c>
      <c r="G352" s="1" t="s">
        <v>22</v>
      </c>
      <c r="H352" s="1" t="s">
        <v>1033</v>
      </c>
      <c r="I352" s="1"/>
      <c r="J352" s="27"/>
      <c r="K352" s="1"/>
      <c r="L352" s="27"/>
      <c r="M352" s="1"/>
      <c r="N352" s="1"/>
      <c r="O352" s="1">
        <f>Cotton_Buds[[#This Row],[Цена за 1 бр. в BGN]]*Cotton_Buds[[#This Row],[Поръчано Количество]]</f>
        <v>0</v>
      </c>
      <c r="P352" s="1"/>
      <c r="Q352" s="1"/>
      <c r="R352" s="1" t="str" cm="1">
        <f t="array" ref="R352">_xlfn.SWITCH(S352,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52" s="5" t="s">
        <v>461</v>
      </c>
    </row>
    <row r="353" spans="1:19" ht="30">
      <c r="A353" s="1" t="s">
        <v>1035</v>
      </c>
      <c r="B353" s="1">
        <v>1</v>
      </c>
      <c r="C353" s="1"/>
      <c r="D353" s="27">
        <v>45968</v>
      </c>
      <c r="E353" s="1" t="s">
        <v>602</v>
      </c>
      <c r="F353" s="33">
        <v>45967.451284722221</v>
      </c>
      <c r="G353" s="1" t="s">
        <v>22</v>
      </c>
      <c r="H353" s="1" t="s">
        <v>1033</v>
      </c>
      <c r="I353" s="1"/>
      <c r="J353" s="27"/>
      <c r="K353" s="1"/>
      <c r="L353" s="27"/>
      <c r="M353" s="1"/>
      <c r="N353" s="1"/>
      <c r="O353" s="1">
        <f>Cotton_Buds[[#This Row],[Цена за 1 бр. в BGN]]*Cotton_Buds[[#This Row],[Поръчано Количество]]</f>
        <v>0</v>
      </c>
      <c r="P353" s="1"/>
      <c r="Q353" s="1"/>
      <c r="R353" s="1" t="str" cm="1">
        <f t="array" ref="R353">_xlfn.SWITCH(S353,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53" s="5" t="s">
        <v>461</v>
      </c>
    </row>
    <row r="354" spans="1:19" ht="30">
      <c r="A354" s="1" t="s">
        <v>1036</v>
      </c>
      <c r="B354" s="1">
        <v>1</v>
      </c>
      <c r="C354" s="1"/>
      <c r="D354" s="27">
        <v>46003</v>
      </c>
      <c r="E354" s="1" t="s">
        <v>602</v>
      </c>
      <c r="F354" s="33">
        <v>45967.453287037039</v>
      </c>
      <c r="G354" s="1" t="s">
        <v>30</v>
      </c>
      <c r="H354" s="1"/>
      <c r="I354" s="1"/>
      <c r="J354" s="27"/>
      <c r="K354" s="1"/>
      <c r="L354" s="27"/>
      <c r="M354" s="1"/>
      <c r="N354" s="1"/>
      <c r="O354" s="1">
        <f>Cotton_Buds[[#This Row],[Цена за 1 бр. в BGN]]*Cotton_Buds[[#This Row],[Поръчано Количество]]</f>
        <v>0</v>
      </c>
      <c r="P354" s="1"/>
      <c r="Q354" s="1"/>
      <c r="R354" s="1" t="str" cm="1">
        <f t="array" ref="R354">_xlfn.SWITCH(S354,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54" s="5" t="s">
        <v>461</v>
      </c>
    </row>
    <row r="355" spans="1:19" ht="60">
      <c r="A355" s="1" t="s">
        <v>1037</v>
      </c>
      <c r="B355" s="1">
        <v>20</v>
      </c>
      <c r="C355" s="1">
        <v>20</v>
      </c>
      <c r="D355" s="27">
        <v>45975</v>
      </c>
      <c r="E355" s="1" t="s">
        <v>602</v>
      </c>
      <c r="F355" s="33">
        <v>45968.464328703703</v>
      </c>
      <c r="G355" s="1" t="s">
        <v>22</v>
      </c>
      <c r="H355" s="1" t="s">
        <v>1018</v>
      </c>
      <c r="I355" s="1" t="s">
        <v>104</v>
      </c>
      <c r="J355" s="27">
        <v>45987</v>
      </c>
      <c r="K355" s="1"/>
      <c r="L355" s="27"/>
      <c r="M355" s="1"/>
      <c r="N355" s="1">
        <v>19.09</v>
      </c>
      <c r="O355" s="1">
        <f>Cotton_Buds[[#This Row],[Цена за 1 бр. в BGN]]*Cotton_Buds[[#This Row],[Поръчано Количество]]</f>
        <v>381.8</v>
      </c>
      <c r="P355" s="1"/>
      <c r="Q355" s="1"/>
      <c r="R355" s="1" t="str" cm="1">
        <f t="array" ref="R355">_xlfn.SWITCH(S355,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55" s="5" t="s">
        <v>1020</v>
      </c>
    </row>
    <row r="356" spans="1:19" ht="30">
      <c r="A356" s="1" t="s">
        <v>1038</v>
      </c>
      <c r="B356" s="1">
        <v>20</v>
      </c>
      <c r="C356" s="1"/>
      <c r="D356" s="27">
        <v>45978</v>
      </c>
      <c r="E356" s="1" t="s">
        <v>602</v>
      </c>
      <c r="F356" s="33">
        <v>45972.531018518515</v>
      </c>
      <c r="G356" s="1" t="s">
        <v>22</v>
      </c>
      <c r="H356" s="1" t="s">
        <v>1005</v>
      </c>
      <c r="I356" s="1" t="s">
        <v>607</v>
      </c>
      <c r="J356" s="27"/>
      <c r="K356" s="1"/>
      <c r="L356" s="27"/>
      <c r="M356" s="1"/>
      <c r="N356" s="1"/>
      <c r="O356" s="1">
        <f>Cotton_Buds[[#This Row],[Цена за 1 бр. в BGN]]*Cotton_Buds[[#This Row],[Поръчано Количество]]</f>
        <v>0</v>
      </c>
      <c r="P356" s="1"/>
      <c r="Q356" s="1"/>
      <c r="R356" s="1" t="str" cm="1">
        <f t="array" ref="R356">_xlfn.SWITCH(S356,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56" s="5" t="s">
        <v>461</v>
      </c>
    </row>
    <row r="357" spans="1:19" ht="30">
      <c r="A357" s="1" t="s">
        <v>1039</v>
      </c>
      <c r="B357" s="1">
        <v>2</v>
      </c>
      <c r="C357" s="1"/>
      <c r="D357" s="27">
        <v>45981</v>
      </c>
      <c r="E357" s="1" t="s">
        <v>610</v>
      </c>
      <c r="F357" s="33">
        <v>45972.534895833334</v>
      </c>
      <c r="G357" s="1"/>
      <c r="H357" s="1"/>
      <c r="I357" s="1" t="s">
        <v>24</v>
      </c>
      <c r="J357" s="27"/>
      <c r="K357" s="1"/>
      <c r="L357" s="27"/>
      <c r="M357" s="1"/>
      <c r="N357" s="1"/>
      <c r="O357" s="1">
        <f>Cotton_Buds[[#This Row],[Цена за 1 бр. в BGN]]*Cotton_Buds[[#This Row],[Поръчано Количество]]</f>
        <v>0</v>
      </c>
      <c r="P357" s="1"/>
      <c r="Q357" s="1"/>
      <c r="R357" s="1" t="str" cm="1">
        <f t="array" ref="R357">_xlfn.SWITCH(S357,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357" s="5" t="s">
        <v>1040</v>
      </c>
    </row>
    <row r="358" spans="1:19">
      <c r="A358" s="1" t="s">
        <v>1041</v>
      </c>
      <c r="B358" s="1">
        <v>5</v>
      </c>
      <c r="C358" s="1"/>
      <c r="D358" s="27">
        <v>45982</v>
      </c>
      <c r="E358" s="1" t="s">
        <v>619</v>
      </c>
      <c r="F358" s="33">
        <v>45973.336909722224</v>
      </c>
      <c r="G358" s="1"/>
      <c r="H358" s="1"/>
      <c r="I358" s="1"/>
      <c r="J358" s="27"/>
      <c r="K358" s="1"/>
      <c r="L358" s="27"/>
      <c r="M358" s="1"/>
      <c r="N358" s="1"/>
      <c r="O358" s="1">
        <f>Cotton_Buds[[#This Row],[Цена за 1 бр. в BGN]]*Cotton_Buds[[#This Row],[Поръчано Количество]]</f>
        <v>0</v>
      </c>
      <c r="P358" s="1"/>
      <c r="Q358" s="1"/>
      <c r="R358" s="1" t="str" cm="1">
        <f t="array" ref="R358">_xlfn.SWITCH(S358,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58" s="5" t="s">
        <v>1020</v>
      </c>
    </row>
    <row r="359" spans="1:19">
      <c r="A359" s="1" t="s">
        <v>1042</v>
      </c>
      <c r="B359" s="1">
        <v>5</v>
      </c>
      <c r="C359" s="1"/>
      <c r="D359" s="27">
        <v>45982</v>
      </c>
      <c r="E359" s="1" t="s">
        <v>619</v>
      </c>
      <c r="F359" s="33">
        <v>45973.337731481479</v>
      </c>
      <c r="G359" s="1"/>
      <c r="H359" s="1"/>
      <c r="I359" s="1"/>
      <c r="J359" s="27"/>
      <c r="K359" s="1"/>
      <c r="L359" s="27"/>
      <c r="M359" s="1"/>
      <c r="N359" s="1"/>
      <c r="O359" s="1">
        <f>Cotton_Buds[[#This Row],[Цена за 1 бр. в BGN]]*Cotton_Buds[[#This Row],[Поръчано Количество]]</f>
        <v>0</v>
      </c>
      <c r="P359" s="1"/>
      <c r="Q359" s="1"/>
      <c r="R359" s="1" t="str" cm="1">
        <f t="array" ref="R359">_xlfn.SWITCH(S359,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59" s="5" t="s">
        <v>1020</v>
      </c>
    </row>
    <row r="360" spans="1:19">
      <c r="A360" s="1" t="s">
        <v>1043</v>
      </c>
      <c r="B360" s="1">
        <v>10</v>
      </c>
      <c r="C360" s="1"/>
      <c r="D360" s="27">
        <v>45982</v>
      </c>
      <c r="E360" s="1" t="s">
        <v>619</v>
      </c>
      <c r="F360" s="33">
        <v>45973.338761574072</v>
      </c>
      <c r="G360" s="1"/>
      <c r="H360" s="1"/>
      <c r="I360" s="1"/>
      <c r="J360" s="27"/>
      <c r="K360" s="1"/>
      <c r="L360" s="27"/>
      <c r="M360" s="1"/>
      <c r="N360" s="1"/>
      <c r="O360" s="1">
        <f>Cotton_Buds[[#This Row],[Цена за 1 бр. в BGN]]*Cotton_Buds[[#This Row],[Поръчано Количество]]</f>
        <v>0</v>
      </c>
      <c r="P360" s="1"/>
      <c r="Q360" s="1"/>
      <c r="R360" s="1" t="str" cm="1">
        <f t="array" ref="R360">_xlfn.SWITCH(S360,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60" s="5" t="s">
        <v>1020</v>
      </c>
    </row>
    <row r="361" spans="1:19" ht="30">
      <c r="A361" s="1" t="s">
        <v>1044</v>
      </c>
      <c r="B361" s="1">
        <v>3</v>
      </c>
      <c r="C361" s="1"/>
      <c r="D361" s="27">
        <v>45982</v>
      </c>
      <c r="E361" s="1" t="s">
        <v>595</v>
      </c>
      <c r="F361" s="33">
        <v>45973.342581018522</v>
      </c>
      <c r="G361" s="1" t="s">
        <v>22</v>
      </c>
      <c r="H361" s="1" t="s">
        <v>1045</v>
      </c>
      <c r="I361" s="1"/>
      <c r="J361" s="27"/>
      <c r="K361" s="1"/>
      <c r="L361" s="27"/>
      <c r="M361" s="1"/>
      <c r="N361" s="1"/>
      <c r="O361" s="1">
        <f>Cotton_Buds[[#This Row],[Цена за 1 бр. в BGN]]*Cotton_Buds[[#This Row],[Поръчано Количество]]</f>
        <v>0</v>
      </c>
      <c r="P361" s="1"/>
      <c r="Q361" s="1"/>
      <c r="R361" s="1" t="str" cm="1">
        <f t="array" ref="R361">_xlfn.SWITCH(S361,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61" s="5" t="s">
        <v>1020</v>
      </c>
    </row>
    <row r="362" spans="1:19" ht="30">
      <c r="A362" s="1" t="s">
        <v>1046</v>
      </c>
      <c r="B362" s="1">
        <v>10</v>
      </c>
      <c r="C362" s="1"/>
      <c r="D362" s="27">
        <v>45982</v>
      </c>
      <c r="E362" s="1" t="s">
        <v>595</v>
      </c>
      <c r="F362" s="33">
        <v>45973.343391203707</v>
      </c>
      <c r="G362" s="1" t="s">
        <v>22</v>
      </c>
      <c r="H362" s="1" t="s">
        <v>1047</v>
      </c>
      <c r="I362" s="1" t="s">
        <v>24</v>
      </c>
      <c r="J362" s="27"/>
      <c r="K362" s="1"/>
      <c r="L362" s="27"/>
      <c r="M362" s="1"/>
      <c r="N362" s="1"/>
      <c r="O362" s="1">
        <f>Cotton_Buds[[#This Row],[Цена за 1 бр. в BGN]]*Cotton_Buds[[#This Row],[Поръчано Количество]]</f>
        <v>0</v>
      </c>
      <c r="P362" s="1"/>
      <c r="Q362" s="1"/>
      <c r="R362" s="1" t="str" cm="1">
        <f t="array" ref="R362">_xlfn.SWITCH(S362,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62" s="5" t="s">
        <v>1020</v>
      </c>
    </row>
    <row r="363" spans="1:19" ht="30">
      <c r="A363" s="1" t="s">
        <v>1048</v>
      </c>
      <c r="B363" s="1">
        <v>6</v>
      </c>
      <c r="C363" s="1"/>
      <c r="D363" s="27">
        <v>45982</v>
      </c>
      <c r="E363" s="1" t="s">
        <v>595</v>
      </c>
      <c r="F363" s="33">
        <v>45973.343912037039</v>
      </c>
      <c r="G363" s="1" t="s">
        <v>22</v>
      </c>
      <c r="H363" s="1" t="s">
        <v>1047</v>
      </c>
      <c r="I363" s="1" t="s">
        <v>24</v>
      </c>
      <c r="J363" s="27"/>
      <c r="K363" s="1"/>
      <c r="L363" s="27"/>
      <c r="M363" s="1"/>
      <c r="N363" s="1"/>
      <c r="O363" s="1">
        <f>Cotton_Buds[[#This Row],[Цена за 1 бр. в BGN]]*Cotton_Buds[[#This Row],[Поръчано Количество]]</f>
        <v>0</v>
      </c>
      <c r="P363" s="1"/>
      <c r="Q363" s="1"/>
      <c r="R363" s="1" t="str" cm="1">
        <f t="array" ref="R363">_xlfn.SWITCH(S363,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63" s="5" t="s">
        <v>1020</v>
      </c>
    </row>
    <row r="364" spans="1:19" ht="30">
      <c r="A364" s="1" t="s">
        <v>1049</v>
      </c>
      <c r="B364" s="1">
        <v>1</v>
      </c>
      <c r="C364" s="1"/>
      <c r="D364" s="27">
        <v>45975</v>
      </c>
      <c r="E364" s="1" t="s">
        <v>602</v>
      </c>
      <c r="F364" s="33">
        <v>45974.330613425926</v>
      </c>
      <c r="G364" s="1" t="s">
        <v>22</v>
      </c>
      <c r="H364" s="1" t="s">
        <v>1050</v>
      </c>
      <c r="I364" s="1" t="s">
        <v>104</v>
      </c>
      <c r="J364" s="27"/>
      <c r="K364" s="1"/>
      <c r="L364" s="27"/>
      <c r="M364" s="1"/>
      <c r="N364" s="1"/>
      <c r="O364" s="1">
        <f>Cotton_Buds[[#This Row],[Цена за 1 бр. в BGN]]*Cotton_Buds[[#This Row],[Поръчано Количество]]</f>
        <v>0</v>
      </c>
      <c r="P364" s="1"/>
      <c r="Q364" s="1"/>
      <c r="R364" s="1" t="str" cm="1">
        <f t="array" ref="R364">_xlfn.SWITCH(S364,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64" s="5" t="s">
        <v>461</v>
      </c>
    </row>
    <row r="365" spans="1:19" ht="30">
      <c r="A365" s="1" t="s">
        <v>1051</v>
      </c>
      <c r="B365" s="1">
        <v>3</v>
      </c>
      <c r="C365" s="1"/>
      <c r="D365" s="27">
        <v>45975</v>
      </c>
      <c r="E365" s="1" t="s">
        <v>602</v>
      </c>
      <c r="F365" s="33">
        <v>45974.330914351849</v>
      </c>
      <c r="G365" s="1" t="s">
        <v>22</v>
      </c>
      <c r="H365" s="1" t="s">
        <v>1050</v>
      </c>
      <c r="I365" s="1" t="s">
        <v>104</v>
      </c>
      <c r="J365" s="27"/>
      <c r="K365" s="1"/>
      <c r="L365" s="27"/>
      <c r="M365" s="1"/>
      <c r="N365" s="1"/>
      <c r="O365" s="1">
        <f>Cotton_Buds[[#This Row],[Цена за 1 бр. в BGN]]*Cotton_Buds[[#This Row],[Поръчано Количество]]</f>
        <v>0</v>
      </c>
      <c r="P365" s="1"/>
      <c r="Q365" s="1"/>
      <c r="R365" s="1" t="str" cm="1">
        <f t="array" ref="R365">_xlfn.SWITCH(S365,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65" s="5" t="s">
        <v>461</v>
      </c>
    </row>
    <row r="366" spans="1:19" ht="30">
      <c r="A366" s="1" t="s">
        <v>1052</v>
      </c>
      <c r="B366" s="1">
        <v>3</v>
      </c>
      <c r="C366" s="1"/>
      <c r="D366" s="27">
        <v>45975</v>
      </c>
      <c r="E366" s="1" t="s">
        <v>602</v>
      </c>
      <c r="F366" s="33">
        <v>45974.331145833334</v>
      </c>
      <c r="G366" s="1" t="s">
        <v>22</v>
      </c>
      <c r="H366" s="1" t="s">
        <v>1050</v>
      </c>
      <c r="I366" s="1" t="s">
        <v>104</v>
      </c>
      <c r="J366" s="27"/>
      <c r="K366" s="1"/>
      <c r="L366" s="27"/>
      <c r="M366" s="1"/>
      <c r="N366" s="1"/>
      <c r="O366" s="1">
        <f>Cotton_Buds[[#This Row],[Цена за 1 бр. в BGN]]*Cotton_Buds[[#This Row],[Поръчано Количество]]</f>
        <v>0</v>
      </c>
      <c r="P366" s="1"/>
      <c r="Q366" s="1"/>
      <c r="R366" s="1" t="str" cm="1">
        <f t="array" ref="R366">_xlfn.SWITCH(S366,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66" s="5" t="s">
        <v>461</v>
      </c>
    </row>
    <row r="367" spans="1:19" ht="30">
      <c r="A367" s="1" t="s">
        <v>1053</v>
      </c>
      <c r="B367" s="1">
        <v>20</v>
      </c>
      <c r="C367" s="1">
        <v>2</v>
      </c>
      <c r="D367" s="27">
        <v>45989</v>
      </c>
      <c r="E367" s="1" t="s">
        <v>595</v>
      </c>
      <c r="F367" s="33">
        <v>45978.488888888889</v>
      </c>
      <c r="G367" s="1" t="s">
        <v>827</v>
      </c>
      <c r="H367" s="1" t="s">
        <v>1054</v>
      </c>
      <c r="I367" s="1" t="s">
        <v>772</v>
      </c>
      <c r="J367" s="27">
        <v>46046</v>
      </c>
      <c r="K367" s="1"/>
      <c r="L367" s="27"/>
      <c r="M367" s="1"/>
      <c r="N367" s="1">
        <v>503.88</v>
      </c>
      <c r="O367" s="1">
        <f>Cotton_Buds[[#This Row],[Цена за 1 бр. в BGN]]*Cotton_Buds[[#This Row],[Поръчано Количество]]</f>
        <v>1007.76</v>
      </c>
      <c r="P367" s="1"/>
      <c r="Q367" s="1"/>
      <c r="R367" s="1" t="str" cm="1">
        <f t="array" ref="R367">_xlfn.SWITCH(S367,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67" s="5" t="s">
        <v>1020</v>
      </c>
    </row>
    <row r="368" spans="1:19" ht="30">
      <c r="A368" s="1" t="s">
        <v>1055</v>
      </c>
      <c r="B368" s="1">
        <v>20</v>
      </c>
      <c r="C368" s="1">
        <v>20</v>
      </c>
      <c r="D368" s="27">
        <v>45989</v>
      </c>
      <c r="E368" s="1" t="s">
        <v>595</v>
      </c>
      <c r="F368" s="33">
        <v>45978.488888888889</v>
      </c>
      <c r="G368" s="1" t="s">
        <v>22</v>
      </c>
      <c r="H368" s="1" t="s">
        <v>1054</v>
      </c>
      <c r="I368" s="1" t="s">
        <v>46</v>
      </c>
      <c r="J368" s="27">
        <v>45989</v>
      </c>
      <c r="K368" s="1"/>
      <c r="L368" s="27"/>
      <c r="M368" s="1"/>
      <c r="N368" s="1">
        <v>50.22</v>
      </c>
      <c r="O368" s="1">
        <f>Cotton_Buds[[#This Row],[Цена за 1 бр. в BGN]]*Cotton_Buds[[#This Row],[Поръчано Количество]]</f>
        <v>1004.4</v>
      </c>
      <c r="P368" s="1"/>
      <c r="Q368" s="1"/>
      <c r="R368" s="1" t="str" cm="1">
        <f t="array" ref="R368">_xlfn.SWITCH(S368,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68" s="5"/>
    </row>
    <row r="369" spans="1:19">
      <c r="A369" s="1" t="s">
        <v>1056</v>
      </c>
      <c r="B369" s="1">
        <v>1</v>
      </c>
      <c r="C369" s="1"/>
      <c r="D369" s="27">
        <v>45989</v>
      </c>
      <c r="E369" s="1" t="s">
        <v>619</v>
      </c>
      <c r="F369" s="33">
        <v>45980.435196759259</v>
      </c>
      <c r="G369" s="1"/>
      <c r="H369" s="1"/>
      <c r="I369" s="1"/>
      <c r="J369" s="27"/>
      <c r="K369" s="1"/>
      <c r="L369" s="27"/>
      <c r="M369" s="1"/>
      <c r="N369" s="1"/>
      <c r="O369" s="1">
        <f>Cotton_Buds[[#This Row],[Цена за 1 бр. в BGN]]*Cotton_Buds[[#This Row],[Поръчано Количество]]</f>
        <v>0</v>
      </c>
      <c r="P369" s="1"/>
      <c r="Q369" s="1"/>
      <c r="R369" s="1" t="str" cm="1">
        <f t="array" ref="R369">_xlfn.SWITCH(S369,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69" s="5" t="s">
        <v>1020</v>
      </c>
    </row>
    <row r="370" spans="1:19">
      <c r="A370" s="1" t="s">
        <v>1057</v>
      </c>
      <c r="B370" s="1">
        <v>8</v>
      </c>
      <c r="C370" s="1"/>
      <c r="D370" s="27">
        <v>45989</v>
      </c>
      <c r="E370" s="1" t="s">
        <v>602</v>
      </c>
      <c r="F370" s="33">
        <v>45981.331620370373</v>
      </c>
      <c r="G370" s="1"/>
      <c r="H370" s="1"/>
      <c r="I370" s="1" t="s">
        <v>607</v>
      </c>
      <c r="J370" s="27"/>
      <c r="K370" s="1"/>
      <c r="L370" s="27"/>
      <c r="M370" s="1"/>
      <c r="N370" s="1"/>
      <c r="O370" s="1">
        <f>Cotton_Buds[[#This Row],[Цена за 1 бр. в BGN]]*Cotton_Buds[[#This Row],[Поръчано Количество]]</f>
        <v>0</v>
      </c>
      <c r="P370" s="1"/>
      <c r="Q370" s="1"/>
      <c r="R370" s="1" t="str" cm="1">
        <f t="array" ref="R370">_xlfn.SWITCH(S370,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70" s="5" t="s">
        <v>1020</v>
      </c>
    </row>
    <row r="371" spans="1:19">
      <c r="A371" s="1" t="s">
        <v>1058</v>
      </c>
      <c r="B371" s="1">
        <v>8</v>
      </c>
      <c r="C371" s="1"/>
      <c r="D371" s="27">
        <v>45990</v>
      </c>
      <c r="E371" s="1" t="s">
        <v>602</v>
      </c>
      <c r="F371" s="33">
        <v>45981.332638888889</v>
      </c>
      <c r="G371" s="1"/>
      <c r="H371" s="1"/>
      <c r="I371" s="1" t="s">
        <v>607</v>
      </c>
      <c r="J371" s="27"/>
      <c r="K371" s="1"/>
      <c r="L371" s="27"/>
      <c r="M371" s="1"/>
      <c r="N371" s="1"/>
      <c r="O371" s="1">
        <f>Cotton_Buds[[#This Row],[Цена за 1 бр. в BGN]]*Cotton_Buds[[#This Row],[Поръчано Количество]]</f>
        <v>0</v>
      </c>
      <c r="P371" s="1"/>
      <c r="Q371" s="1"/>
      <c r="R371" s="1" t="str" cm="1">
        <f t="array" ref="R371">_xlfn.SWITCH(S371,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71" s="5" t="s">
        <v>1020</v>
      </c>
    </row>
    <row r="372" spans="1:19">
      <c r="A372" s="1" t="s">
        <v>1059</v>
      </c>
      <c r="B372" s="1">
        <v>8</v>
      </c>
      <c r="C372" s="1"/>
      <c r="D372" s="27">
        <v>45989</v>
      </c>
      <c r="E372" s="1" t="s">
        <v>602</v>
      </c>
      <c r="F372" s="33">
        <v>45981.333067129628</v>
      </c>
      <c r="G372" s="1"/>
      <c r="H372" s="1"/>
      <c r="I372" s="1" t="s">
        <v>607</v>
      </c>
      <c r="J372" s="27"/>
      <c r="K372" s="1"/>
      <c r="L372" s="27"/>
      <c r="M372" s="1"/>
      <c r="N372" s="1"/>
      <c r="O372" s="1">
        <f>Cotton_Buds[[#This Row],[Цена за 1 бр. в BGN]]*Cotton_Buds[[#This Row],[Поръчано Количество]]</f>
        <v>0</v>
      </c>
      <c r="P372" s="1"/>
      <c r="Q372" s="1"/>
      <c r="R372" s="1" t="str" cm="1">
        <f t="array" ref="R372">_xlfn.SWITCH(S372,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72" s="5" t="s">
        <v>1020</v>
      </c>
    </row>
    <row r="373" spans="1:19" ht="30">
      <c r="A373" s="1" t="s">
        <v>1060</v>
      </c>
      <c r="B373" s="1">
        <v>500</v>
      </c>
      <c r="C373" s="1">
        <v>500</v>
      </c>
      <c r="D373" s="27">
        <v>45988</v>
      </c>
      <c r="E373" s="1" t="s">
        <v>602</v>
      </c>
      <c r="F373" s="33">
        <v>45981.353587962964</v>
      </c>
      <c r="G373" s="1" t="s">
        <v>22</v>
      </c>
      <c r="H373" s="1" t="s">
        <v>1061</v>
      </c>
      <c r="I373" s="1" t="s">
        <v>46</v>
      </c>
      <c r="J373" s="27"/>
      <c r="K373" s="1"/>
      <c r="L373" s="27"/>
      <c r="M373" s="1"/>
      <c r="N373" s="1">
        <v>6.8849999999999998</v>
      </c>
      <c r="O373" s="1">
        <f>Cotton_Buds[[#This Row],[Цена за 1 бр. в BGN]]*Cotton_Buds[[#This Row],[Поръчано Количество]]</f>
        <v>3442.5</v>
      </c>
      <c r="P373" s="1"/>
      <c r="Q373" s="1"/>
      <c r="R373" s="1" t="str" cm="1">
        <f t="array" ref="R373">_xlfn.SWITCH(S373,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73" s="5" t="s">
        <v>461</v>
      </c>
    </row>
    <row r="374" spans="1:19" ht="30">
      <c r="A374" s="1" t="s">
        <v>1062</v>
      </c>
      <c r="B374" s="1">
        <v>10</v>
      </c>
      <c r="C374" s="1"/>
      <c r="D374" s="27">
        <v>45989</v>
      </c>
      <c r="E374" s="1" t="s">
        <v>595</v>
      </c>
      <c r="F374" s="33">
        <v>45981.423587962963</v>
      </c>
      <c r="G374" s="1"/>
      <c r="H374" s="1"/>
      <c r="I374" s="1" t="s">
        <v>101</v>
      </c>
      <c r="J374" s="27"/>
      <c r="K374" s="1"/>
      <c r="L374" s="27"/>
      <c r="M374" s="1"/>
      <c r="N374" s="1"/>
      <c r="O374" s="1">
        <f>Cotton_Buds[[#This Row],[Цена за 1 бр. в BGN]]*Cotton_Buds[[#This Row],[Поръчано Количество]]</f>
        <v>0</v>
      </c>
      <c r="P374" s="1"/>
      <c r="Q374" s="1"/>
      <c r="R374" s="1" t="str" cm="1">
        <f t="array" ref="R374">_xlfn.SWITCH(S374,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74" s="5" t="s">
        <v>1020</v>
      </c>
    </row>
    <row r="375" spans="1:19" ht="17.25" customHeight="1">
      <c r="A375" s="1" t="s">
        <v>1063</v>
      </c>
      <c r="B375" s="1">
        <v>2</v>
      </c>
      <c r="C375" s="1">
        <v>2</v>
      </c>
      <c r="D375" s="27">
        <v>46010</v>
      </c>
      <c r="E375" s="1" t="s">
        <v>610</v>
      </c>
      <c r="F375" s="33">
        <v>45982.456145833334</v>
      </c>
      <c r="G375" s="1" t="s">
        <v>22</v>
      </c>
      <c r="H375" s="39" t="s">
        <v>902</v>
      </c>
      <c r="I375" s="1" t="s">
        <v>35</v>
      </c>
      <c r="J375" s="27"/>
      <c r="K375" s="1"/>
      <c r="L375" s="27">
        <v>46066</v>
      </c>
      <c r="M375" s="1">
        <v>2</v>
      </c>
      <c r="N375" s="1">
        <f>55.2*1.95583</f>
        <v>107.961816</v>
      </c>
      <c r="O375" s="1">
        <f>Cotton_Buds[[#This Row],[Цена за 1 бр. в BGN]]*Cotton_Buds[[#This Row],[Поръчано Количество]]</f>
        <v>215.923632</v>
      </c>
      <c r="P375" s="1"/>
      <c r="Q375" s="1"/>
      <c r="R375" s="1" t="str" cm="1">
        <f t="array" ref="R375">_xlfn.SWITCH(S375,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75" s="5" t="s">
        <v>461</v>
      </c>
    </row>
    <row r="376" spans="1:19">
      <c r="A376" s="1" t="s">
        <v>1064</v>
      </c>
      <c r="B376" s="1">
        <v>2</v>
      </c>
      <c r="C376" s="1">
        <v>2</v>
      </c>
      <c r="D376" s="27">
        <v>45989</v>
      </c>
      <c r="E376" s="1" t="s">
        <v>619</v>
      </c>
      <c r="F376" s="33">
        <v>45985.484629629631</v>
      </c>
      <c r="G376" s="1" t="s">
        <v>22</v>
      </c>
      <c r="H376" s="1">
        <v>202085</v>
      </c>
      <c r="I376" s="1" t="s">
        <v>58</v>
      </c>
      <c r="J376" s="27">
        <v>46002</v>
      </c>
      <c r="K376" s="1"/>
      <c r="L376" s="27"/>
      <c r="M376" s="1"/>
      <c r="N376" s="1"/>
      <c r="O376" s="1">
        <f>Cotton_Buds[[#This Row],[Цена за 1 бр. в BGN]]*Cotton_Buds[[#This Row],[Поръчано Количество]]</f>
        <v>0</v>
      </c>
      <c r="P376" s="1"/>
      <c r="Q376" s="1"/>
      <c r="R376" s="1" t="str" cm="1">
        <f t="array" ref="R376">_xlfn.SWITCH(S376,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76" s="5" t="s">
        <v>1020</v>
      </c>
    </row>
    <row r="377" spans="1:19">
      <c r="A377" s="1" t="s">
        <v>1065</v>
      </c>
      <c r="B377" s="1">
        <v>20</v>
      </c>
      <c r="C377" s="1">
        <v>20</v>
      </c>
      <c r="D377" s="27">
        <v>45989</v>
      </c>
      <c r="E377" s="1" t="s">
        <v>619</v>
      </c>
      <c r="F377" s="33">
        <v>45985.485717592594</v>
      </c>
      <c r="G377" s="1" t="s">
        <v>22</v>
      </c>
      <c r="H377" s="39" t="s">
        <v>902</v>
      </c>
      <c r="I377" s="1" t="s">
        <v>35</v>
      </c>
      <c r="J377" s="27"/>
      <c r="K377" s="1"/>
      <c r="L377" s="27">
        <v>46066</v>
      </c>
      <c r="M377" s="1">
        <v>20</v>
      </c>
      <c r="N377" s="1">
        <f>1.95583*1.24</f>
        <v>2.4252292</v>
      </c>
      <c r="O377" s="1">
        <f>Cotton_Buds[[#This Row],[Цена за 1 бр. в BGN]]*Cotton_Buds[[#This Row],[Поръчано Количество]]</f>
        <v>48.504584000000001</v>
      </c>
      <c r="P377" s="1"/>
      <c r="Q377" s="1"/>
      <c r="R377" s="1" t="str" cm="1">
        <f t="array" ref="R377">_xlfn.SWITCH(S377,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77" s="5" t="s">
        <v>1020</v>
      </c>
    </row>
    <row r="378" spans="1:19">
      <c r="A378" s="1" t="s">
        <v>1066</v>
      </c>
      <c r="B378" s="1">
        <v>20</v>
      </c>
      <c r="C378" s="1">
        <v>20</v>
      </c>
      <c r="D378" s="27">
        <v>45989</v>
      </c>
      <c r="E378" s="1" t="s">
        <v>619</v>
      </c>
      <c r="F378" s="33">
        <v>45985.486516203702</v>
      </c>
      <c r="G378" s="1" t="s">
        <v>22</v>
      </c>
      <c r="H378" s="39" t="s">
        <v>902</v>
      </c>
      <c r="I378" s="1" t="s">
        <v>35</v>
      </c>
      <c r="J378" s="27"/>
      <c r="K378" s="1"/>
      <c r="L378" s="27">
        <v>46066</v>
      </c>
      <c r="M378" s="1"/>
      <c r="N378" s="1"/>
      <c r="O378" s="1">
        <f>Cotton_Buds[[#This Row],[Цена за 1 бр. в BGN]]*Cotton_Buds[[#This Row],[Поръчано Количество]]</f>
        <v>0</v>
      </c>
      <c r="P378" s="1"/>
      <c r="Q378" s="1"/>
      <c r="R378" s="1" t="str" cm="1">
        <f t="array" ref="R378">_xlfn.SWITCH(S378,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78" s="5" t="s">
        <v>1020</v>
      </c>
    </row>
    <row r="379" spans="1:19">
      <c r="A379" s="1" t="s">
        <v>1067</v>
      </c>
      <c r="B379" s="1">
        <v>20</v>
      </c>
      <c r="C379" s="1">
        <v>20</v>
      </c>
      <c r="D379" s="27">
        <v>45989</v>
      </c>
      <c r="E379" s="1" t="s">
        <v>619</v>
      </c>
      <c r="F379" s="33">
        <v>45985.487002314818</v>
      </c>
      <c r="G379" s="1" t="s">
        <v>22</v>
      </c>
      <c r="H379" s="39" t="s">
        <v>902</v>
      </c>
      <c r="I379" s="1" t="s">
        <v>35</v>
      </c>
      <c r="J379" s="27"/>
      <c r="K379" s="1"/>
      <c r="L379" s="27">
        <v>46066</v>
      </c>
      <c r="M379" s="1"/>
      <c r="N379" s="1"/>
      <c r="O379" s="1">
        <f>Cotton_Buds[[#This Row],[Цена за 1 бр. в BGN]]*Cotton_Buds[[#This Row],[Поръчано Количество]]</f>
        <v>0</v>
      </c>
      <c r="P379" s="1"/>
      <c r="Q379" s="1"/>
      <c r="R379" s="1" t="str" cm="1">
        <f t="array" ref="R379">_xlfn.SWITCH(S379,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79" s="5" t="s">
        <v>1020</v>
      </c>
    </row>
    <row r="380" spans="1:19">
      <c r="A380" s="1" t="s">
        <v>1068</v>
      </c>
      <c r="B380" s="1">
        <v>20</v>
      </c>
      <c r="C380" s="1">
        <v>20</v>
      </c>
      <c r="D380" s="27">
        <v>45989</v>
      </c>
      <c r="E380" s="1" t="s">
        <v>619</v>
      </c>
      <c r="F380" s="33">
        <v>45985.487604166665</v>
      </c>
      <c r="G380" s="1" t="s">
        <v>22</v>
      </c>
      <c r="H380" s="39" t="s">
        <v>902</v>
      </c>
      <c r="I380" s="1" t="s">
        <v>35</v>
      </c>
      <c r="J380" s="27"/>
      <c r="K380" s="1"/>
      <c r="L380" s="27">
        <v>46066</v>
      </c>
      <c r="M380" s="1"/>
      <c r="N380" s="1"/>
      <c r="O380" s="1">
        <f>Cotton_Buds[[#This Row],[Цена за 1 бр. в BGN]]*Cotton_Buds[[#This Row],[Поръчано Количество]]</f>
        <v>0</v>
      </c>
      <c r="P380" s="1"/>
      <c r="Q380" s="1"/>
      <c r="R380" s="1" t="str" cm="1">
        <f t="array" ref="R380">_xlfn.SWITCH(S380,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80" s="5" t="s">
        <v>1020</v>
      </c>
    </row>
    <row r="381" spans="1:19" ht="30">
      <c r="A381" s="1" t="s">
        <v>1069</v>
      </c>
      <c r="B381" s="1">
        <v>10</v>
      </c>
      <c r="C381" s="1">
        <v>10</v>
      </c>
      <c r="D381" s="27">
        <v>45989</v>
      </c>
      <c r="E381" s="1" t="s">
        <v>619</v>
      </c>
      <c r="F381" s="33">
        <v>45985.48847222222</v>
      </c>
      <c r="G381" s="1" t="s">
        <v>22</v>
      </c>
      <c r="H381" s="38">
        <v>202085</v>
      </c>
      <c r="I381" s="1" t="s">
        <v>58</v>
      </c>
      <c r="J381" s="27">
        <v>46002</v>
      </c>
      <c r="K381" s="1"/>
      <c r="L381" s="27"/>
      <c r="M381" s="1"/>
      <c r="N381" s="1"/>
      <c r="O381" s="1">
        <f>Cotton_Buds[[#This Row],[Цена за 1 бр. в BGN]]*Cotton_Buds[[#This Row],[Поръчано Количество]]</f>
        <v>0</v>
      </c>
      <c r="P381" s="1"/>
      <c r="Q381" s="1"/>
      <c r="R381" s="1" t="str" cm="1">
        <f t="array" ref="R381">_xlfn.SWITCH(S381,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81" s="5" t="s">
        <v>1020</v>
      </c>
    </row>
    <row r="382" spans="1:19">
      <c r="A382" s="1" t="s">
        <v>1070</v>
      </c>
      <c r="B382" s="1">
        <v>20</v>
      </c>
      <c r="C382" s="1">
        <v>20</v>
      </c>
      <c r="D382" s="27">
        <v>46003</v>
      </c>
      <c r="E382" s="1" t="s">
        <v>619</v>
      </c>
      <c r="F382" s="33">
        <v>45992.445752314816</v>
      </c>
      <c r="G382" s="1" t="s">
        <v>22</v>
      </c>
      <c r="H382" s="38">
        <v>202085</v>
      </c>
      <c r="I382" s="1" t="s">
        <v>58</v>
      </c>
      <c r="J382" s="27">
        <v>46002</v>
      </c>
      <c r="K382" s="1"/>
      <c r="L382" s="27"/>
      <c r="M382" s="1"/>
      <c r="N382" s="1"/>
      <c r="O382" s="1">
        <f>Cotton_Buds[[#This Row],[Цена за 1 бр. в BGN]]*Cotton_Buds[[#This Row],[Поръчано Количество]]</f>
        <v>0</v>
      </c>
      <c r="P382" s="1"/>
      <c r="Q382" s="1"/>
      <c r="R382" s="1" t="str" cm="1">
        <f t="array" ref="R382">_xlfn.SWITCH(S382,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82" s="5" t="s">
        <v>1020</v>
      </c>
    </row>
    <row r="383" spans="1:19" ht="30">
      <c r="A383" s="1" t="s">
        <v>1071</v>
      </c>
      <c r="B383" s="1">
        <v>40</v>
      </c>
      <c r="C383" s="1"/>
      <c r="D383" s="27">
        <v>46003</v>
      </c>
      <c r="E383" s="1" t="s">
        <v>595</v>
      </c>
      <c r="F383" s="33">
        <v>45992.446446759262</v>
      </c>
      <c r="G383" s="1" t="s">
        <v>22</v>
      </c>
      <c r="H383" s="1"/>
      <c r="I383" s="1" t="s">
        <v>24</v>
      </c>
      <c r="J383" s="27"/>
      <c r="K383" s="1"/>
      <c r="L383" s="27"/>
      <c r="M383" s="1"/>
      <c r="N383" s="1"/>
      <c r="O383" s="1">
        <f>Cotton_Buds[[#This Row],[Цена за 1 бр. в BGN]]*Cotton_Buds[[#This Row],[Поръчано Количество]]</f>
        <v>0</v>
      </c>
      <c r="P383" s="1"/>
      <c r="Q383" s="1"/>
      <c r="R383" s="1" t="str" cm="1">
        <f t="array" ref="R383">_xlfn.SWITCH(S383,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83" s="5" t="s">
        <v>1020</v>
      </c>
    </row>
    <row r="384" spans="1:19">
      <c r="A384" s="1" t="s">
        <v>1072</v>
      </c>
      <c r="B384" s="1">
        <v>2</v>
      </c>
      <c r="C384" s="1"/>
      <c r="D384" s="27">
        <v>46003</v>
      </c>
      <c r="E384" s="1" t="s">
        <v>602</v>
      </c>
      <c r="F384" s="33">
        <v>45992.45140046296</v>
      </c>
      <c r="G384" s="1"/>
      <c r="H384" s="1"/>
      <c r="I384" s="1" t="s">
        <v>607</v>
      </c>
      <c r="J384" s="27"/>
      <c r="K384" s="1"/>
      <c r="L384" s="27"/>
      <c r="M384" s="1"/>
      <c r="N384" s="1"/>
      <c r="O384" s="1">
        <f>Cotton_Buds[[#This Row],[Цена за 1 бр. в BGN]]*Cotton_Buds[[#This Row],[Поръчано Количество]]</f>
        <v>0</v>
      </c>
      <c r="P384" s="1"/>
      <c r="Q384" s="1"/>
      <c r="R384" s="1" t="str" cm="1">
        <f t="array" ref="R384">_xlfn.SWITCH(S384,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384" s="5" t="s">
        <v>1020</v>
      </c>
    </row>
    <row r="385" spans="1:19" ht="30">
      <c r="A385" s="1" t="s">
        <v>1073</v>
      </c>
      <c r="B385" s="1">
        <v>8</v>
      </c>
      <c r="C385" s="1">
        <v>8</v>
      </c>
      <c r="D385" s="27">
        <v>45999</v>
      </c>
      <c r="E385" s="1" t="s">
        <v>63</v>
      </c>
      <c r="F385" s="33">
        <v>45995.562442129631</v>
      </c>
      <c r="G385" s="1" t="s">
        <v>22</v>
      </c>
      <c r="H385" s="38">
        <v>202085</v>
      </c>
      <c r="I385" s="1" t="s">
        <v>58</v>
      </c>
      <c r="J385" s="27">
        <v>46002</v>
      </c>
      <c r="K385" s="1"/>
      <c r="L385" s="27"/>
      <c r="M385" s="1"/>
      <c r="N385" s="1"/>
      <c r="O385" s="1">
        <f>Cotton_Buds[[#This Row],[Цена за 1 бр. в BGN]]*Cotton_Buds[[#This Row],[Поръчано Количество]]</f>
        <v>0</v>
      </c>
      <c r="P385" s="1"/>
      <c r="Q385" s="1"/>
      <c r="R385" s="1" t="str" cm="1">
        <f t="array" ref="R385">_xlfn.SWITCH(S385,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85" s="5" t="s">
        <v>461</v>
      </c>
    </row>
    <row r="386" spans="1:19" ht="30">
      <c r="A386" s="1" t="s">
        <v>1074</v>
      </c>
      <c r="B386" s="1">
        <v>8</v>
      </c>
      <c r="C386" s="1">
        <v>1</v>
      </c>
      <c r="D386" s="27">
        <v>45999</v>
      </c>
      <c r="E386" s="1" t="s">
        <v>63</v>
      </c>
      <c r="F386" s="33">
        <v>45995.562592592592</v>
      </c>
      <c r="G386" s="1" t="s">
        <v>22</v>
      </c>
      <c r="H386" s="38">
        <v>202085</v>
      </c>
      <c r="I386" s="1" t="s">
        <v>58</v>
      </c>
      <c r="J386" s="27">
        <v>46002</v>
      </c>
      <c r="K386" s="1"/>
      <c r="L386" s="27"/>
      <c r="M386" s="1"/>
      <c r="N386" s="1"/>
      <c r="O386" s="1">
        <f>Cotton_Buds[[#This Row],[Цена за 1 бр. в BGN]]*Cotton_Buds[[#This Row],[Поръчано Количество]]</f>
        <v>0</v>
      </c>
      <c r="P386" s="1"/>
      <c r="Q386" s="1"/>
      <c r="R386" s="1" t="str" cm="1">
        <f t="array" ref="R386">_xlfn.SWITCH(S386,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86" s="5" t="s">
        <v>461</v>
      </c>
    </row>
    <row r="387" spans="1:19" ht="30">
      <c r="A387" s="1" t="s">
        <v>1075</v>
      </c>
      <c r="B387" s="1">
        <v>8</v>
      </c>
      <c r="C387" s="1"/>
      <c r="D387" s="27">
        <v>45999</v>
      </c>
      <c r="E387" s="1" t="s">
        <v>63</v>
      </c>
      <c r="F387" s="33">
        <v>45995.562754629631</v>
      </c>
      <c r="G387" s="1" t="s">
        <v>22</v>
      </c>
      <c r="H387" s="38">
        <v>202085</v>
      </c>
      <c r="I387" s="1" t="s">
        <v>58</v>
      </c>
      <c r="J387" s="27">
        <v>46002</v>
      </c>
      <c r="K387" s="1"/>
      <c r="L387" s="27"/>
      <c r="M387" s="1"/>
      <c r="N387" s="1"/>
      <c r="O387" s="1">
        <f>Cotton_Buds[[#This Row],[Цена за 1 бр. в BGN]]*Cotton_Buds[[#This Row],[Поръчано Количество]]</f>
        <v>0</v>
      </c>
      <c r="P387" s="1"/>
      <c r="Q387" s="1"/>
      <c r="R387" s="1" t="str" cm="1">
        <f t="array" ref="R387">_xlfn.SWITCH(S387,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87" s="5" t="s">
        <v>461</v>
      </c>
    </row>
    <row r="388" spans="1:19" ht="30">
      <c r="A388" s="1" t="s">
        <v>1076</v>
      </c>
      <c r="B388" s="1">
        <v>8</v>
      </c>
      <c r="C388" s="1"/>
      <c r="D388" s="27">
        <v>45999</v>
      </c>
      <c r="E388" s="1" t="s">
        <v>63</v>
      </c>
      <c r="F388" s="33">
        <v>45995.562893518516</v>
      </c>
      <c r="G388" s="1"/>
      <c r="H388" s="1"/>
      <c r="I388" s="1" t="s">
        <v>75</v>
      </c>
      <c r="J388" s="27"/>
      <c r="K388" s="1"/>
      <c r="L388" s="27"/>
      <c r="M388" s="1"/>
      <c r="N388" s="1"/>
      <c r="O388" s="1">
        <f>Cotton_Buds[[#This Row],[Цена за 1 бр. в BGN]]*Cotton_Buds[[#This Row],[Поръчано Количество]]</f>
        <v>0</v>
      </c>
      <c r="P388" s="1"/>
      <c r="Q388" s="1"/>
      <c r="R388" s="1" t="str" cm="1">
        <f t="array" ref="R388">_xlfn.SWITCH(S388,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88" s="5" t="s">
        <v>461</v>
      </c>
    </row>
    <row r="389" spans="1:19" ht="30">
      <c r="A389" s="1" t="s">
        <v>1077</v>
      </c>
      <c r="B389" s="1">
        <v>3</v>
      </c>
      <c r="C389" s="1">
        <v>3</v>
      </c>
      <c r="D389" s="27">
        <v>45999</v>
      </c>
      <c r="E389" s="1" t="s">
        <v>63</v>
      </c>
      <c r="F389" s="33">
        <v>45995.564641203702</v>
      </c>
      <c r="G389" s="1" t="s">
        <v>22</v>
      </c>
      <c r="H389" s="38">
        <v>202085</v>
      </c>
      <c r="I389" s="1" t="s">
        <v>58</v>
      </c>
      <c r="J389" s="27">
        <v>46002</v>
      </c>
      <c r="K389" s="1"/>
      <c r="L389" s="27"/>
      <c r="M389" s="1"/>
      <c r="N389" s="1"/>
      <c r="O389" s="1">
        <f>Cotton_Buds[[#This Row],[Цена за 1 бр. в BGN]]*Cotton_Buds[[#This Row],[Поръчано Количество]]</f>
        <v>0</v>
      </c>
      <c r="P389" s="1"/>
      <c r="Q389" s="1"/>
      <c r="R389" s="1" t="str" cm="1">
        <f t="array" ref="R389">_xlfn.SWITCH(S389,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89" s="5" t="s">
        <v>461</v>
      </c>
    </row>
    <row r="390" spans="1:19" ht="30">
      <c r="A390" s="1" t="s">
        <v>1078</v>
      </c>
      <c r="B390" s="1">
        <v>10</v>
      </c>
      <c r="C390" s="1">
        <v>10</v>
      </c>
      <c r="D390" s="27">
        <v>45999</v>
      </c>
      <c r="E390" s="1" t="s">
        <v>63</v>
      </c>
      <c r="F390" s="33">
        <v>45995.567245370374</v>
      </c>
      <c r="G390" s="1" t="s">
        <v>22</v>
      </c>
      <c r="H390" s="38">
        <v>202085</v>
      </c>
      <c r="I390" s="1" t="s">
        <v>58</v>
      </c>
      <c r="J390" s="27">
        <v>46002</v>
      </c>
      <c r="K390" s="1"/>
      <c r="L390" s="27"/>
      <c r="M390" s="1"/>
      <c r="N390" s="1"/>
      <c r="O390" s="1">
        <f>Cotton_Buds[[#This Row],[Цена за 1 бр. в BGN]]*Cotton_Buds[[#This Row],[Поръчано Количество]]</f>
        <v>0</v>
      </c>
      <c r="P390" s="1"/>
      <c r="Q390" s="1"/>
      <c r="R390" s="1" t="str" cm="1">
        <f t="array" ref="R390">_xlfn.SWITCH(S390,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90" s="5" t="s">
        <v>461</v>
      </c>
    </row>
    <row r="391" spans="1:19" ht="30">
      <c r="A391" s="1" t="s">
        <v>1079</v>
      </c>
      <c r="B391" s="1">
        <v>40</v>
      </c>
      <c r="C391" s="1">
        <v>40</v>
      </c>
      <c r="D391" s="27">
        <v>45997</v>
      </c>
      <c r="E391" s="1" t="s">
        <v>1009</v>
      </c>
      <c r="F391" s="33">
        <v>45997.369756944441</v>
      </c>
      <c r="G391" s="1" t="s">
        <v>22</v>
      </c>
      <c r="H391" s="1"/>
      <c r="I391" s="1" t="s">
        <v>58</v>
      </c>
      <c r="J391" s="27"/>
      <c r="K391" s="1"/>
      <c r="L391" s="27"/>
      <c r="M391" s="1"/>
      <c r="N391" s="1"/>
      <c r="O391" s="1">
        <f>Cotton_Buds[[#This Row],[Цена за 1 бр. в BGN]]*Cotton_Buds[[#This Row],[Поръчано Количество]]</f>
        <v>0</v>
      </c>
      <c r="P391" s="1"/>
      <c r="Q391" s="1"/>
      <c r="R391" s="1" t="str" cm="1">
        <f t="array" ref="R391">_xlfn.SWITCH(S391,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91" s="5" t="s">
        <v>461</v>
      </c>
    </row>
    <row r="392" spans="1:19" ht="30">
      <c r="A392" s="1" t="s">
        <v>1080</v>
      </c>
      <c r="B392" s="1">
        <v>40</v>
      </c>
      <c r="C392" s="1">
        <v>40</v>
      </c>
      <c r="D392" s="27">
        <v>45997</v>
      </c>
      <c r="E392" s="1" t="s">
        <v>1009</v>
      </c>
      <c r="F392" s="33">
        <v>45997.370185185187</v>
      </c>
      <c r="G392" s="1" t="s">
        <v>22</v>
      </c>
      <c r="H392" s="1"/>
      <c r="I392" s="1" t="s">
        <v>58</v>
      </c>
      <c r="J392" s="27"/>
      <c r="K392" s="1"/>
      <c r="L392" s="27"/>
      <c r="M392" s="1"/>
      <c r="N392" s="1"/>
      <c r="O392" s="1">
        <f>Cotton_Buds[[#This Row],[Цена за 1 бр. в BGN]]*Cotton_Buds[[#This Row],[Поръчано Количество]]</f>
        <v>0</v>
      </c>
      <c r="P392" s="1"/>
      <c r="Q392" s="1"/>
      <c r="R392" s="1" t="str" cm="1">
        <f t="array" ref="R392">_xlfn.SWITCH(S392,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92" s="5" t="s">
        <v>461</v>
      </c>
    </row>
    <row r="393" spans="1:19" ht="30">
      <c r="A393" s="1" t="s">
        <v>1081</v>
      </c>
      <c r="B393" s="1">
        <v>30</v>
      </c>
      <c r="C393" s="1"/>
      <c r="D393" s="27">
        <v>46000</v>
      </c>
      <c r="E393" s="1" t="s">
        <v>619</v>
      </c>
      <c r="F393" s="33">
        <v>45997.371423611112</v>
      </c>
      <c r="G393" s="1" t="s">
        <v>42</v>
      </c>
      <c r="H393" s="38">
        <v>206552</v>
      </c>
      <c r="I393" s="1" t="s">
        <v>58</v>
      </c>
      <c r="J393" s="27"/>
      <c r="K393" s="1"/>
      <c r="L393" s="27"/>
      <c r="M393" s="1"/>
      <c r="N393" s="1"/>
      <c r="O393" s="1">
        <f>Cotton_Buds[[#This Row],[Цена за 1 бр. в BGN]]*Cotton_Buds[[#This Row],[Поръчано Количество]]</f>
        <v>0</v>
      </c>
      <c r="P393" s="1"/>
      <c r="Q393" s="1"/>
      <c r="R393" s="1" t="str" cm="1">
        <f t="array" ref="R393">_xlfn.SWITCH(S393,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93" s="5" t="s">
        <v>461</v>
      </c>
    </row>
    <row r="394" spans="1:19" ht="30">
      <c r="A394" s="1" t="s">
        <v>1082</v>
      </c>
      <c r="B394" s="1">
        <v>6</v>
      </c>
      <c r="C394" s="1"/>
      <c r="D394" s="27">
        <v>46010</v>
      </c>
      <c r="E394" s="1" t="s">
        <v>602</v>
      </c>
      <c r="F394" s="33">
        <v>46002.557106481479</v>
      </c>
      <c r="G394" s="1" t="s">
        <v>22</v>
      </c>
      <c r="H394" s="1" t="s">
        <v>1083</v>
      </c>
      <c r="I394" s="1" t="s">
        <v>625</v>
      </c>
      <c r="J394" s="27"/>
      <c r="K394" s="1"/>
      <c r="L394" s="27"/>
      <c r="M394" s="1"/>
      <c r="N394" s="1">
        <f t="shared" ref="N394:N401" si="4">15*1.95568</f>
        <v>29.3352</v>
      </c>
      <c r="O394" s="1">
        <f>Cotton_Buds[[#This Row],[Цена за 1 бр. в BGN]]*Cotton_Buds[[#This Row],[Поръчано Количество]]</f>
        <v>0</v>
      </c>
      <c r="P394" s="1"/>
      <c r="Q394" s="1"/>
      <c r="R394" s="1" t="str" cm="1">
        <f t="array" ref="R394">_xlfn.SWITCH(S394,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94" s="5" t="s">
        <v>461</v>
      </c>
    </row>
    <row r="395" spans="1:19" ht="30">
      <c r="A395" s="1" t="s">
        <v>1084</v>
      </c>
      <c r="B395" s="1">
        <v>4</v>
      </c>
      <c r="C395" s="1"/>
      <c r="D395" s="27">
        <v>46010</v>
      </c>
      <c r="E395" s="1" t="s">
        <v>602</v>
      </c>
      <c r="F395" s="33">
        <v>46003.275185185186</v>
      </c>
      <c r="G395" s="1" t="s">
        <v>22</v>
      </c>
      <c r="H395" s="1" t="s">
        <v>1083</v>
      </c>
      <c r="I395" s="1" t="s">
        <v>625</v>
      </c>
      <c r="J395" s="27"/>
      <c r="K395" s="1"/>
      <c r="L395" s="27"/>
      <c r="M395" s="1"/>
      <c r="N395" s="1">
        <f t="shared" si="4"/>
        <v>29.3352</v>
      </c>
      <c r="O395" s="1">
        <f>Cotton_Buds[[#This Row],[Цена за 1 бр. в BGN]]*Cotton_Buds[[#This Row],[Поръчано Количество]]</f>
        <v>0</v>
      </c>
      <c r="P395" s="1"/>
      <c r="Q395" s="1"/>
      <c r="R395" s="1" t="str" cm="1">
        <f t="array" ref="R395">_xlfn.SWITCH(S395,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95" s="5" t="s">
        <v>461</v>
      </c>
    </row>
    <row r="396" spans="1:19" ht="30">
      <c r="A396" s="1" t="s">
        <v>1085</v>
      </c>
      <c r="B396" s="1">
        <v>2</v>
      </c>
      <c r="C396" s="1"/>
      <c r="D396" s="27">
        <v>46022</v>
      </c>
      <c r="E396" s="1" t="s">
        <v>595</v>
      </c>
      <c r="F396" s="33">
        <v>46007.316608796296</v>
      </c>
      <c r="G396" s="1" t="s">
        <v>42</v>
      </c>
      <c r="H396" s="1" t="s">
        <v>1086</v>
      </c>
      <c r="I396" s="1" t="s">
        <v>772</v>
      </c>
      <c r="J396" s="27"/>
      <c r="K396" s="1"/>
      <c r="L396" s="27"/>
      <c r="M396" s="1"/>
      <c r="N396" s="1">
        <f t="shared" si="4"/>
        <v>29.3352</v>
      </c>
      <c r="O396" s="1">
        <f>Cotton_Buds[[#This Row],[Цена за 1 бр. в BGN]]*Cotton_Buds[[#This Row],[Поръчано Количество]]</f>
        <v>0</v>
      </c>
      <c r="P396" s="1"/>
      <c r="Q396" s="1"/>
      <c r="R396" s="1" t="str" cm="1">
        <f t="array" ref="R396">_xlfn.SWITCH(S396,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96" s="5" t="s">
        <v>461</v>
      </c>
    </row>
    <row r="397" spans="1:19" ht="30">
      <c r="A397" s="1" t="s">
        <v>1087</v>
      </c>
      <c r="B397" s="1">
        <v>2</v>
      </c>
      <c r="C397" s="1"/>
      <c r="D397" s="27">
        <v>46022</v>
      </c>
      <c r="E397" s="1" t="s">
        <v>595</v>
      </c>
      <c r="F397" s="33">
        <v>46007.317326388889</v>
      </c>
      <c r="G397" s="1" t="s">
        <v>42</v>
      </c>
      <c r="H397" s="1" t="s">
        <v>1086</v>
      </c>
      <c r="I397" s="1" t="s">
        <v>772</v>
      </c>
      <c r="J397" s="27"/>
      <c r="K397" s="1"/>
      <c r="L397" s="27"/>
      <c r="M397" s="1"/>
      <c r="N397" s="1">
        <f t="shared" si="4"/>
        <v>29.3352</v>
      </c>
      <c r="O397" s="1">
        <f>Cotton_Buds[[#This Row],[Цена за 1 бр. в BGN]]*Cotton_Buds[[#This Row],[Поръчано Количество]]</f>
        <v>0</v>
      </c>
      <c r="P397" s="1"/>
      <c r="Q397" s="1"/>
      <c r="R397" s="1" t="str" cm="1">
        <f t="array" ref="R397">_xlfn.SWITCH(S397,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97" s="5" t="s">
        <v>461</v>
      </c>
    </row>
    <row r="398" spans="1:19" ht="30">
      <c r="A398" s="1" t="s">
        <v>1088</v>
      </c>
      <c r="B398" s="1">
        <v>2</v>
      </c>
      <c r="C398" s="1"/>
      <c r="D398" s="27">
        <v>46022</v>
      </c>
      <c r="E398" s="1" t="s">
        <v>595</v>
      </c>
      <c r="F398" s="33">
        <v>46007.318240740744</v>
      </c>
      <c r="G398" s="1" t="s">
        <v>42</v>
      </c>
      <c r="H398" s="1" t="s">
        <v>1086</v>
      </c>
      <c r="I398" s="1" t="s">
        <v>772</v>
      </c>
      <c r="J398" s="27"/>
      <c r="K398" s="1"/>
      <c r="L398" s="27"/>
      <c r="M398" s="1"/>
      <c r="N398" s="1">
        <f t="shared" si="4"/>
        <v>29.3352</v>
      </c>
      <c r="O398" s="1">
        <f>Cotton_Buds[[#This Row],[Цена за 1 бр. в BGN]]*Cotton_Buds[[#This Row],[Поръчано Количество]]</f>
        <v>0</v>
      </c>
      <c r="P398" s="1"/>
      <c r="Q398" s="1"/>
      <c r="R398" s="1" t="str" cm="1">
        <f t="array" ref="R398">_xlfn.SWITCH(S398,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98" s="5" t="s">
        <v>461</v>
      </c>
    </row>
    <row r="399" spans="1:19" ht="30">
      <c r="A399" s="1" t="s">
        <v>1089</v>
      </c>
      <c r="B399" s="1">
        <v>2</v>
      </c>
      <c r="C399" s="1"/>
      <c r="D399" s="27">
        <v>46038</v>
      </c>
      <c r="E399" s="1" t="s">
        <v>602</v>
      </c>
      <c r="F399" s="33">
        <v>46009.352951388886</v>
      </c>
      <c r="G399" s="1" t="s">
        <v>22</v>
      </c>
      <c r="H399" s="1"/>
      <c r="I399" s="1"/>
      <c r="J399" s="27"/>
      <c r="K399" s="1"/>
      <c r="L399" s="27"/>
      <c r="M399" s="1"/>
      <c r="N399" s="1">
        <f t="shared" si="4"/>
        <v>29.3352</v>
      </c>
      <c r="O399" s="1">
        <f>Cotton_Buds[[#This Row],[Цена за 1 бр. в BGN]]*Cotton_Buds[[#This Row],[Поръчано Количество]]</f>
        <v>0</v>
      </c>
      <c r="P399" s="1"/>
      <c r="Q399" s="1"/>
      <c r="R399" s="1" t="str" cm="1">
        <f t="array" ref="R399">_xlfn.SWITCH(S399,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99" s="5" t="s">
        <v>461</v>
      </c>
    </row>
    <row r="400" spans="1:19" ht="30">
      <c r="A400" s="1" t="s">
        <v>1090</v>
      </c>
      <c r="B400" s="1">
        <v>4</v>
      </c>
      <c r="C400" s="1"/>
      <c r="D400" s="27">
        <v>46052</v>
      </c>
      <c r="E400" s="1" t="s">
        <v>602</v>
      </c>
      <c r="F400" s="33">
        <v>46009.353634259256</v>
      </c>
      <c r="G400" s="1" t="s">
        <v>22</v>
      </c>
      <c r="H400" s="1"/>
      <c r="I400" s="1"/>
      <c r="J400" s="27"/>
      <c r="K400" s="1"/>
      <c r="L400" s="27"/>
      <c r="M400" s="1"/>
      <c r="N400" s="1">
        <f t="shared" si="4"/>
        <v>29.3352</v>
      </c>
      <c r="O400" s="1">
        <f>Cotton_Buds[[#This Row],[Цена за 1 бр. в BGN]]*Cotton_Buds[[#This Row],[Поръчано Количество]]</f>
        <v>0</v>
      </c>
      <c r="P400" s="1"/>
      <c r="Q400" s="1"/>
      <c r="R400" s="1" t="str" cm="1">
        <f t="array" ref="R400">_xlfn.SWITCH(S400,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00" s="5" t="s">
        <v>461</v>
      </c>
    </row>
    <row r="401" spans="1:19" ht="30">
      <c r="A401" s="1" t="s">
        <v>1091</v>
      </c>
      <c r="B401" s="1">
        <v>4</v>
      </c>
      <c r="C401" s="1"/>
      <c r="D401" s="27">
        <v>46012</v>
      </c>
      <c r="E401" s="1" t="s">
        <v>595</v>
      </c>
      <c r="F401" s="33">
        <v>46009.430185185185</v>
      </c>
      <c r="G401" s="1" t="s">
        <v>22</v>
      </c>
      <c r="H401" s="1"/>
      <c r="I401" s="1"/>
      <c r="J401" s="27"/>
      <c r="K401" s="1"/>
      <c r="L401" s="27"/>
      <c r="M401" s="1"/>
      <c r="N401" s="1">
        <f t="shared" si="4"/>
        <v>29.3352</v>
      </c>
      <c r="O401" s="1">
        <f>Cotton_Buds[[#This Row],[Цена за 1 бр. в BGN]]*Cotton_Buds[[#This Row],[Поръчано Количество]]</f>
        <v>0</v>
      </c>
      <c r="P401" s="1"/>
      <c r="Q401" s="1"/>
      <c r="R401" s="1" t="str" cm="1">
        <f t="array" ref="R401">_xlfn.SWITCH(S401,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01" s="5" t="s">
        <v>461</v>
      </c>
    </row>
    <row r="402" spans="1:19" ht="30">
      <c r="A402" s="1" t="s">
        <v>1092</v>
      </c>
      <c r="B402" s="1">
        <v>2</v>
      </c>
      <c r="C402" s="1"/>
      <c r="D402" s="27">
        <v>46038</v>
      </c>
      <c r="E402" s="1" t="s">
        <v>595</v>
      </c>
      <c r="F402" s="33">
        <v>46011.343275462961</v>
      </c>
      <c r="G402" s="1"/>
      <c r="H402" s="1"/>
      <c r="I402" s="1" t="s">
        <v>261</v>
      </c>
      <c r="J402" s="27"/>
      <c r="K402" s="1"/>
      <c r="L402" s="27"/>
      <c r="M402" s="1"/>
      <c r="N402" s="1">
        <f t="shared" ref="N402:N406" si="5">15*1.95568</f>
        <v>29.3352</v>
      </c>
      <c r="O402" s="1">
        <f>Cotton_Buds[[#This Row],[Цена за 1 бр. в BGN]]*Cotton_Buds[[#This Row],[Поръчано Количество]]</f>
        <v>0</v>
      </c>
      <c r="P402" s="1"/>
      <c r="Q402" s="1"/>
      <c r="R402" s="1" t="str" cm="1">
        <f t="array" ref="R402">_xlfn.SWITCH(S402,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02" s="5" t="s">
        <v>461</v>
      </c>
    </row>
    <row r="403" spans="1:19" ht="30">
      <c r="A403" s="1" t="s">
        <v>1093</v>
      </c>
      <c r="B403" s="1">
        <v>10</v>
      </c>
      <c r="C403" s="1"/>
      <c r="D403" s="27">
        <v>46052</v>
      </c>
      <c r="E403" s="1" t="s">
        <v>595</v>
      </c>
      <c r="F403" s="33">
        <v>46011.422592592593</v>
      </c>
      <c r="G403" s="1" t="s">
        <v>235</v>
      </c>
      <c r="H403" s="1"/>
      <c r="I403" s="1" t="s">
        <v>772</v>
      </c>
      <c r="J403" s="27"/>
      <c r="K403" s="1"/>
      <c r="L403" s="27"/>
      <c r="M403" s="1"/>
      <c r="N403" s="1">
        <f t="shared" si="5"/>
        <v>29.3352</v>
      </c>
      <c r="O403" s="1">
        <f>Cotton_Buds[[#This Row],[Цена за 1 бр. в BGN]]*Cotton_Buds[[#This Row],[Поръчано Количество]]</f>
        <v>0</v>
      </c>
      <c r="P403" s="1"/>
      <c r="Q403" s="1"/>
      <c r="R403" s="1" t="str" cm="1">
        <f t="array" ref="R403">_xlfn.SWITCH(S403,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03" s="5" t="s">
        <v>461</v>
      </c>
    </row>
    <row r="404" spans="1:19" ht="30">
      <c r="A404" s="1" t="s">
        <v>1094</v>
      </c>
      <c r="B404" s="1">
        <v>10</v>
      </c>
      <c r="C404" s="1"/>
      <c r="D404" s="27">
        <v>46052</v>
      </c>
      <c r="E404" s="1" t="s">
        <v>595</v>
      </c>
      <c r="F404" s="33">
        <v>46011.422962962963</v>
      </c>
      <c r="G404" s="1" t="s">
        <v>235</v>
      </c>
      <c r="H404" s="1"/>
      <c r="I404" s="1" t="s">
        <v>772</v>
      </c>
      <c r="J404" s="27"/>
      <c r="K404" s="1"/>
      <c r="L404" s="27"/>
      <c r="M404" s="1"/>
      <c r="N404" s="1">
        <f t="shared" si="5"/>
        <v>29.3352</v>
      </c>
      <c r="O404" s="1">
        <f>Cotton_Buds[[#This Row],[Цена за 1 бр. в BGN]]*Cotton_Buds[[#This Row],[Поръчано Количество]]</f>
        <v>0</v>
      </c>
      <c r="P404" s="1"/>
      <c r="Q404" s="1"/>
      <c r="R404" s="1" t="str" cm="1">
        <f t="array" ref="R404">_xlfn.SWITCH(S404,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04" s="5" t="s">
        <v>461</v>
      </c>
    </row>
    <row r="405" spans="1:19" ht="30">
      <c r="A405" s="1" t="s">
        <v>1095</v>
      </c>
      <c r="B405" s="1">
        <v>6</v>
      </c>
      <c r="C405" s="1"/>
      <c r="D405" s="27">
        <v>46031</v>
      </c>
      <c r="E405" s="1" t="s">
        <v>595</v>
      </c>
      <c r="F405" s="33">
        <v>46013.276678240742</v>
      </c>
      <c r="G405" s="1"/>
      <c r="H405" s="1"/>
      <c r="I405" s="1" t="s">
        <v>24</v>
      </c>
      <c r="J405" s="27"/>
      <c r="K405" s="1"/>
      <c r="L405" s="27"/>
      <c r="M405" s="1"/>
      <c r="N405" s="1">
        <f t="shared" si="5"/>
        <v>29.3352</v>
      </c>
      <c r="O405" s="1">
        <f>Cotton_Buds[[#This Row],[Цена за 1 бр. в BGN]]*Cotton_Buds[[#This Row],[Поръчано Количество]]</f>
        <v>0</v>
      </c>
      <c r="P405" s="1"/>
      <c r="Q405" s="1"/>
      <c r="R405" s="1" t="str" cm="1">
        <f t="array" ref="R405">_xlfn.SWITCH(S405,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05" s="5" t="s">
        <v>461</v>
      </c>
    </row>
    <row r="406" spans="1:19" ht="30">
      <c r="A406" s="1" t="s">
        <v>1096</v>
      </c>
      <c r="B406" s="1">
        <v>100</v>
      </c>
      <c r="C406" s="1"/>
      <c r="D406" s="27">
        <v>46014</v>
      </c>
      <c r="E406" s="1" t="s">
        <v>602</v>
      </c>
      <c r="F406" s="33">
        <v>46014.356122685182</v>
      </c>
      <c r="G406" s="1" t="s">
        <v>22</v>
      </c>
      <c r="H406" s="1"/>
      <c r="I406" s="1" t="s">
        <v>320</v>
      </c>
      <c r="J406" s="27"/>
      <c r="K406" s="1"/>
      <c r="L406" s="27"/>
      <c r="M406" s="1"/>
      <c r="N406" s="1">
        <f t="shared" si="5"/>
        <v>29.3352</v>
      </c>
      <c r="O406" s="1">
        <f>Cotton_Buds[[#This Row],[Цена за 1 бр. в BGN]]*Cotton_Buds[[#This Row],[Поръчано Количество]]</f>
        <v>0</v>
      </c>
      <c r="P406" s="1"/>
      <c r="Q406" s="1"/>
      <c r="R406" s="1" t="str" cm="1">
        <f t="array" ref="R406">_xlfn.SWITCH(S406,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06" s="5" t="s">
        <v>461</v>
      </c>
    </row>
    <row r="407" spans="1:19" ht="30">
      <c r="A407" s="1" t="s">
        <v>1097</v>
      </c>
      <c r="B407" s="1">
        <v>3</v>
      </c>
      <c r="C407" s="1"/>
      <c r="D407" s="27">
        <v>46014</v>
      </c>
      <c r="E407" s="1" t="s">
        <v>619</v>
      </c>
      <c r="F407" s="33">
        <v>46014.369166666664</v>
      </c>
      <c r="G407" s="1"/>
      <c r="H407" s="1"/>
      <c r="I407" s="1"/>
      <c r="J407" s="27"/>
      <c r="K407" s="1"/>
      <c r="L407" s="27"/>
      <c r="M407" s="1"/>
      <c r="N407" s="1"/>
      <c r="O407" s="1">
        <f>Cotton_Buds[[#This Row],[Цена за 1 бр. в BGN]]*Cotton_Buds[[#This Row],[Поръчано Количество]]</f>
        <v>0</v>
      </c>
      <c r="P407" s="1"/>
      <c r="Q407" s="1"/>
      <c r="R407" s="1" t="str" cm="1">
        <f t="array" ref="R407">_xlfn.SWITCH(S407,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07" s="5" t="s">
        <v>461</v>
      </c>
    </row>
    <row r="408" spans="1:19" ht="30">
      <c r="A408" s="1" t="s">
        <v>1098</v>
      </c>
      <c r="B408" s="1">
        <v>8</v>
      </c>
      <c r="C408" s="1">
        <v>6</v>
      </c>
      <c r="D408" s="27">
        <v>46028</v>
      </c>
      <c r="E408" s="1" t="s">
        <v>602</v>
      </c>
      <c r="F408" s="33">
        <v>46027.281840277778</v>
      </c>
      <c r="G408" s="1" t="s">
        <v>22</v>
      </c>
      <c r="H408" s="70">
        <v>2535199101</v>
      </c>
      <c r="I408" s="1" t="s">
        <v>104</v>
      </c>
      <c r="J408" s="27">
        <v>46035</v>
      </c>
      <c r="K408" s="1"/>
      <c r="L408" s="27"/>
      <c r="M408" s="1"/>
      <c r="N408" s="1">
        <f>99.02*1.95583</f>
        <v>193.66628659999998</v>
      </c>
      <c r="O408" s="1">
        <f>Cotton_Buds[[#This Row],[Цена за 1 бр. в BGN]]*Cotton_Buds[[#This Row],[Поръчано Количество]]</f>
        <v>1161.9977196</v>
      </c>
      <c r="P408" s="1"/>
      <c r="Q408" s="1"/>
      <c r="R408" s="1" t="str" cm="1">
        <f t="array" ref="R408">_xlfn.SWITCH(S408,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08" s="5" t="s">
        <v>461</v>
      </c>
    </row>
    <row r="409" spans="1:19" ht="30">
      <c r="A409" s="1" t="s">
        <v>1099</v>
      </c>
      <c r="B409" s="1">
        <v>4</v>
      </c>
      <c r="C409" s="1"/>
      <c r="D409" s="27">
        <v>46038</v>
      </c>
      <c r="E409" s="1" t="s">
        <v>595</v>
      </c>
      <c r="F409" s="33">
        <v>46029.442696759259</v>
      </c>
      <c r="G409" s="1" t="s">
        <v>42</v>
      </c>
      <c r="H409" s="1" t="s">
        <v>1100</v>
      </c>
      <c r="I409" s="1" t="s">
        <v>104</v>
      </c>
      <c r="J409" s="27"/>
      <c r="K409" s="1"/>
      <c r="L409" s="27"/>
      <c r="M409" s="1"/>
      <c r="N409" s="1"/>
      <c r="O409" s="1">
        <f>Cotton_Buds[[#This Row],[Цена за 1 бр. в BGN]]*Cotton_Buds[[#This Row],[Поръчано Количество]]</f>
        <v>0</v>
      </c>
      <c r="P409" s="1"/>
      <c r="Q409" s="1"/>
      <c r="R409" s="1" t="str" cm="1">
        <f t="array" ref="R409">_xlfn.SWITCH(S409,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09" s="5" t="s">
        <v>461</v>
      </c>
    </row>
    <row r="410" spans="1:19">
      <c r="A410" s="1" t="s">
        <v>1101</v>
      </c>
      <c r="B410" s="1">
        <v>50</v>
      </c>
      <c r="C410" s="1"/>
      <c r="D410" s="27">
        <v>46038</v>
      </c>
      <c r="E410" s="1" t="s">
        <v>619</v>
      </c>
      <c r="F410" s="33">
        <v>46030.473761574074</v>
      </c>
      <c r="G410" s="1" t="s">
        <v>22</v>
      </c>
      <c r="H410" s="38">
        <v>206552</v>
      </c>
      <c r="I410" s="1" t="s">
        <v>58</v>
      </c>
      <c r="J410" s="27"/>
      <c r="K410" s="1"/>
      <c r="L410" s="27"/>
      <c r="M410" s="1"/>
      <c r="N410" s="1">
        <f t="shared" ref="N410:N419" si="6">15*1.95568</f>
        <v>29.3352</v>
      </c>
      <c r="O410" s="1">
        <f>Cotton_Buds[[#This Row],[Цена за 1 бр. в BGN]]*Cotton_Buds[[#This Row],[Поръчано Количество]]</f>
        <v>0</v>
      </c>
      <c r="P410" s="1"/>
      <c r="Q410" s="1"/>
      <c r="R410" s="1" t="str" cm="1">
        <f t="array" ref="R410">_xlfn.SWITCH(S410,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10" s="5" t="s">
        <v>1020</v>
      </c>
    </row>
    <row r="411" spans="1:19">
      <c r="A411" s="1" t="s">
        <v>1102</v>
      </c>
      <c r="B411" s="1">
        <v>50</v>
      </c>
      <c r="C411" s="1"/>
      <c r="D411" s="27">
        <v>46038</v>
      </c>
      <c r="E411" s="1" t="s">
        <v>619</v>
      </c>
      <c r="F411" s="33">
        <v>46030.474259259259</v>
      </c>
      <c r="G411" s="1" t="s">
        <v>22</v>
      </c>
      <c r="H411" s="38">
        <v>206552</v>
      </c>
      <c r="I411" s="1" t="s">
        <v>58</v>
      </c>
      <c r="J411" s="27"/>
      <c r="K411" s="1"/>
      <c r="L411" s="27"/>
      <c r="M411" s="1"/>
      <c r="N411" s="1">
        <f t="shared" si="6"/>
        <v>29.3352</v>
      </c>
      <c r="O411" s="1">
        <f>Cotton_Buds[[#This Row],[Цена за 1 бр. в BGN]]*Cotton_Buds[[#This Row],[Поръчано Количество]]</f>
        <v>0</v>
      </c>
      <c r="P411" s="1"/>
      <c r="Q411" s="1"/>
      <c r="R411" s="1" t="str" cm="1">
        <f t="array" ref="R411">_xlfn.SWITCH(S411,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11" s="5" t="s">
        <v>1020</v>
      </c>
    </row>
    <row r="412" spans="1:19" ht="30">
      <c r="A412" s="1" t="s">
        <v>1103</v>
      </c>
      <c r="B412" s="1">
        <v>2</v>
      </c>
      <c r="C412" s="1">
        <v>2</v>
      </c>
      <c r="D412" s="27">
        <v>46038</v>
      </c>
      <c r="E412" s="1" t="s">
        <v>619</v>
      </c>
      <c r="F412" s="33">
        <v>46031.255891203706</v>
      </c>
      <c r="G412" s="1" t="s">
        <v>22</v>
      </c>
      <c r="H412" s="1" t="s">
        <v>1007</v>
      </c>
      <c r="I412" s="1" t="s">
        <v>46</v>
      </c>
      <c r="J412" s="27">
        <v>46057</v>
      </c>
      <c r="K412" s="1"/>
      <c r="L412" s="27"/>
      <c r="M412" s="1"/>
      <c r="N412" s="1">
        <f t="shared" si="6"/>
        <v>29.3352</v>
      </c>
      <c r="O412" s="1">
        <f>Cotton_Buds[[#This Row],[Цена за 1 бр. в BGN]]*Cotton_Buds[[#This Row],[Поръчано Количество]]</f>
        <v>58.670400000000001</v>
      </c>
      <c r="P412" s="1"/>
      <c r="Q412" s="1"/>
      <c r="R412" s="1" t="str" cm="1">
        <f t="array" ref="R412">_xlfn.SWITCH(S412,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12" s="5" t="s">
        <v>1020</v>
      </c>
    </row>
    <row r="413" spans="1:19">
      <c r="A413" s="1" t="s">
        <v>1104</v>
      </c>
      <c r="B413" s="1">
        <v>100</v>
      </c>
      <c r="C413" s="1"/>
      <c r="D413" s="27">
        <v>46038</v>
      </c>
      <c r="E413" s="1" t="s">
        <v>619</v>
      </c>
      <c r="F413" s="33">
        <v>46031.257835648146</v>
      </c>
      <c r="G413" s="1"/>
      <c r="H413" s="1"/>
      <c r="I413" s="1" t="s">
        <v>48</v>
      </c>
      <c r="J413" s="27"/>
      <c r="K413" s="1"/>
      <c r="L413" s="27"/>
      <c r="M413" s="1"/>
      <c r="N413" s="1">
        <f t="shared" si="6"/>
        <v>29.3352</v>
      </c>
      <c r="O413" s="1">
        <f>Cotton_Buds[[#This Row],[Цена за 1 бр. в BGN]]*Cotton_Buds[[#This Row],[Поръчано Количество]]</f>
        <v>0</v>
      </c>
      <c r="P413" s="1"/>
      <c r="Q413" s="1"/>
      <c r="R413" s="1" t="str" cm="1">
        <f t="array" ref="R413">_xlfn.SWITCH(S413,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13" s="5" t="s">
        <v>1020</v>
      </c>
    </row>
    <row r="414" spans="1:19">
      <c r="A414" s="1" t="s">
        <v>1105</v>
      </c>
      <c r="B414" s="1">
        <v>100</v>
      </c>
      <c r="C414" s="1"/>
      <c r="D414" s="27">
        <v>46038</v>
      </c>
      <c r="E414" s="1" t="s">
        <v>619</v>
      </c>
      <c r="F414" s="33">
        <v>46031.258206018516</v>
      </c>
      <c r="G414" s="1"/>
      <c r="H414" s="1"/>
      <c r="I414" s="1" t="s">
        <v>48</v>
      </c>
      <c r="J414" s="27"/>
      <c r="K414" s="1"/>
      <c r="L414" s="27"/>
      <c r="M414" s="1"/>
      <c r="N414" s="1">
        <f t="shared" si="6"/>
        <v>29.3352</v>
      </c>
      <c r="O414" s="1">
        <f>Cotton_Buds[[#This Row],[Цена за 1 бр. в BGN]]*Cotton_Buds[[#This Row],[Поръчано Количество]]</f>
        <v>0</v>
      </c>
      <c r="P414" s="1"/>
      <c r="Q414" s="1"/>
      <c r="R414" s="1" t="str" cm="1">
        <f t="array" ref="R414">_xlfn.SWITCH(S414,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14" s="5" t="s">
        <v>1020</v>
      </c>
    </row>
    <row r="415" spans="1:19">
      <c r="A415" s="1" t="s">
        <v>1106</v>
      </c>
      <c r="B415" s="1">
        <v>100</v>
      </c>
      <c r="C415" s="1"/>
      <c r="D415" s="27">
        <v>46038</v>
      </c>
      <c r="E415" s="1" t="s">
        <v>619</v>
      </c>
      <c r="F415" s="33">
        <v>46031.258599537039</v>
      </c>
      <c r="G415" s="1"/>
      <c r="H415" s="1"/>
      <c r="I415" s="1" t="s">
        <v>48</v>
      </c>
      <c r="J415" s="27"/>
      <c r="K415" s="1"/>
      <c r="L415" s="27"/>
      <c r="M415" s="1"/>
      <c r="N415" s="1">
        <f t="shared" si="6"/>
        <v>29.3352</v>
      </c>
      <c r="O415" s="1">
        <f>Cotton_Buds[[#This Row],[Цена за 1 бр. в BGN]]*Cotton_Buds[[#This Row],[Поръчано Количество]]</f>
        <v>0</v>
      </c>
      <c r="P415" s="1"/>
      <c r="Q415" s="1"/>
      <c r="R415" s="1" t="str" cm="1">
        <f t="array" ref="R415">_xlfn.SWITCH(S415,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15" s="5" t="s">
        <v>1020</v>
      </c>
    </row>
    <row r="416" spans="1:19">
      <c r="A416" s="1" t="s">
        <v>1107</v>
      </c>
      <c r="B416" s="1">
        <v>100</v>
      </c>
      <c r="C416" s="1"/>
      <c r="D416" s="27">
        <v>46038</v>
      </c>
      <c r="E416" s="1" t="s">
        <v>619</v>
      </c>
      <c r="F416" s="33">
        <v>46031.259016203701</v>
      </c>
      <c r="G416" s="1"/>
      <c r="H416" s="1"/>
      <c r="I416" s="1" t="s">
        <v>48</v>
      </c>
      <c r="J416" s="27"/>
      <c r="K416" s="1"/>
      <c r="L416" s="27"/>
      <c r="M416" s="1"/>
      <c r="N416" s="1">
        <f t="shared" si="6"/>
        <v>29.3352</v>
      </c>
      <c r="O416" s="1">
        <f>Cotton_Buds[[#This Row],[Цена за 1 бр. в BGN]]*Cotton_Buds[[#This Row],[Поръчано Количество]]</f>
        <v>0</v>
      </c>
      <c r="P416" s="1"/>
      <c r="Q416" s="1"/>
      <c r="R416" s="1" t="str" cm="1">
        <f t="array" ref="R416">_xlfn.SWITCH(S416,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16" s="5" t="s">
        <v>1020</v>
      </c>
    </row>
    <row r="417" spans="1:19">
      <c r="A417" s="1" t="s">
        <v>1108</v>
      </c>
      <c r="B417" s="1">
        <v>20</v>
      </c>
      <c r="C417" s="1">
        <v>20</v>
      </c>
      <c r="D417" s="27">
        <v>46038</v>
      </c>
      <c r="E417" s="1" t="s">
        <v>619</v>
      </c>
      <c r="F417" s="33">
        <v>46031.263391203705</v>
      </c>
      <c r="G417" s="1" t="s">
        <v>22</v>
      </c>
      <c r="H417" s="39" t="s">
        <v>902</v>
      </c>
      <c r="I417" s="1" t="s">
        <v>35</v>
      </c>
      <c r="J417" s="27"/>
      <c r="K417" s="1"/>
      <c r="L417" s="27">
        <v>46066</v>
      </c>
      <c r="M417" s="1"/>
      <c r="N417" s="1">
        <f t="shared" si="6"/>
        <v>29.3352</v>
      </c>
      <c r="O417" s="1">
        <f>Cotton_Buds[[#This Row],[Цена за 1 бр. в BGN]]*Cotton_Buds[[#This Row],[Поръчано Количество]]</f>
        <v>586.70399999999995</v>
      </c>
      <c r="P417" s="1"/>
      <c r="Q417" s="1"/>
      <c r="R417" s="1" t="str" cm="1">
        <f t="array" ref="R417">_xlfn.SWITCH(S417,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17" s="5" t="s">
        <v>1020</v>
      </c>
    </row>
    <row r="418" spans="1:19">
      <c r="A418" s="1" t="s">
        <v>1109</v>
      </c>
      <c r="B418" s="1">
        <v>20</v>
      </c>
      <c r="C418" s="1">
        <v>20</v>
      </c>
      <c r="D418" s="27">
        <v>46038</v>
      </c>
      <c r="E418" s="1" t="s">
        <v>619</v>
      </c>
      <c r="F418" s="33">
        <v>46031.264733796299</v>
      </c>
      <c r="G418" s="1" t="s">
        <v>22</v>
      </c>
      <c r="H418" s="39" t="s">
        <v>902</v>
      </c>
      <c r="I418" s="1" t="s">
        <v>35</v>
      </c>
      <c r="J418" s="27"/>
      <c r="K418" s="1"/>
      <c r="L418" s="27">
        <v>46066</v>
      </c>
      <c r="M418" s="1"/>
      <c r="N418" s="1">
        <f t="shared" si="6"/>
        <v>29.3352</v>
      </c>
      <c r="O418" s="1">
        <f>Cotton_Buds[[#This Row],[Цена за 1 бр. в BGN]]*Cotton_Buds[[#This Row],[Поръчано Количество]]</f>
        <v>586.70399999999995</v>
      </c>
      <c r="P418" s="1"/>
      <c r="Q418" s="1"/>
      <c r="R418" s="1" t="str" cm="1">
        <f t="array" ref="R418">_xlfn.SWITCH(S418,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18" s="5" t="s">
        <v>1020</v>
      </c>
    </row>
    <row r="419" spans="1:19">
      <c r="A419" s="1" t="s">
        <v>1110</v>
      </c>
      <c r="B419" s="1">
        <v>2</v>
      </c>
      <c r="C419" s="1">
        <v>3</v>
      </c>
      <c r="D419" s="27">
        <v>46038</v>
      </c>
      <c r="E419" s="1" t="s">
        <v>619</v>
      </c>
      <c r="F419" s="33">
        <v>46031.267442129632</v>
      </c>
      <c r="G419" s="1" t="s">
        <v>22</v>
      </c>
      <c r="H419" s="38">
        <v>206552</v>
      </c>
      <c r="I419" s="1" t="s">
        <v>58</v>
      </c>
      <c r="J419" s="27"/>
      <c r="K419" s="1"/>
      <c r="L419" s="27"/>
      <c r="M419" s="1"/>
      <c r="N419" s="1">
        <f t="shared" si="6"/>
        <v>29.3352</v>
      </c>
      <c r="O419" s="1">
        <f>Cotton_Buds[[#This Row],[Цена за 1 бр. в BGN]]*Cotton_Buds[[#This Row],[Поръчано Количество]]</f>
        <v>88.005600000000001</v>
      </c>
      <c r="P419" s="1"/>
      <c r="Q419" s="1"/>
      <c r="R419" s="1" t="str" cm="1">
        <f t="array" ref="R419">_xlfn.SWITCH(S419,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19" s="5" t="s">
        <v>1020</v>
      </c>
    </row>
    <row r="420" spans="1:19" ht="30">
      <c r="A420" s="1" t="s">
        <v>1111</v>
      </c>
      <c r="B420" s="1">
        <v>2</v>
      </c>
      <c r="C420" s="1">
        <v>2</v>
      </c>
      <c r="D420" s="27">
        <v>46073</v>
      </c>
      <c r="E420" s="1" t="s">
        <v>600</v>
      </c>
      <c r="F420" s="33">
        <v>46031.275601851848</v>
      </c>
      <c r="G420" s="1" t="s">
        <v>235</v>
      </c>
      <c r="H420" s="1" t="s">
        <v>1112</v>
      </c>
      <c r="I420" s="1" t="s">
        <v>772</v>
      </c>
      <c r="J420" s="27">
        <v>46112</v>
      </c>
      <c r="K420" s="1"/>
      <c r="L420" s="27"/>
      <c r="M420" s="1"/>
      <c r="N420" s="1">
        <f>68.75*2.1</f>
        <v>144.375</v>
      </c>
      <c r="O420" s="1">
        <f>Cotton_Buds[[#This Row],[Цена за 1 бр. в BGN]]*Cotton_Buds[[#This Row],[Поръчано Количество]]</f>
        <v>288.75</v>
      </c>
      <c r="P420" s="1"/>
      <c r="Q420" s="1"/>
      <c r="R420" s="1" t="str" cm="1">
        <f t="array" ref="R420">_xlfn.SWITCH(S420,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20" s="5" t="s">
        <v>461</v>
      </c>
    </row>
    <row r="421" spans="1:19" ht="30">
      <c r="A421" s="1" t="s">
        <v>1113</v>
      </c>
      <c r="B421" s="1">
        <v>2</v>
      </c>
      <c r="C421" s="1">
        <v>2</v>
      </c>
      <c r="D421" s="27">
        <v>46052</v>
      </c>
      <c r="E421" s="1" t="s">
        <v>595</v>
      </c>
      <c r="F421" s="33">
        <v>46031.276134259257</v>
      </c>
      <c r="G421" s="1" t="s">
        <v>235</v>
      </c>
      <c r="H421" s="1" t="s">
        <v>1112</v>
      </c>
      <c r="I421" s="1" t="s">
        <v>772</v>
      </c>
      <c r="J421" s="27">
        <v>46112</v>
      </c>
      <c r="K421" s="1"/>
      <c r="L421" s="27"/>
      <c r="M421" s="1"/>
      <c r="N421" s="1">
        <v>144.375</v>
      </c>
      <c r="O421" s="1">
        <f>Cotton_Buds[[#This Row],[Цена за 1 бр. в BGN]]*Cotton_Buds[[#This Row],[Поръчано Количество]]</f>
        <v>288.75</v>
      </c>
      <c r="P421" s="1"/>
      <c r="Q421" s="1"/>
      <c r="R421" s="1" t="str" cm="1">
        <f t="array" ref="R421">_xlfn.SWITCH(S421,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21" s="5" t="s">
        <v>461</v>
      </c>
    </row>
    <row r="422" spans="1:19">
      <c r="A422" s="1" t="s">
        <v>1114</v>
      </c>
      <c r="B422" s="1">
        <v>50</v>
      </c>
      <c r="C422" s="1"/>
      <c r="D422" s="27">
        <v>46038</v>
      </c>
      <c r="E422" s="1" t="s">
        <v>619</v>
      </c>
      <c r="F422" s="33">
        <v>46031.277037037034</v>
      </c>
      <c r="G422" s="1" t="s">
        <v>22</v>
      </c>
      <c r="H422" s="38">
        <v>206552</v>
      </c>
      <c r="I422" s="1" t="s">
        <v>58</v>
      </c>
      <c r="J422" s="27"/>
      <c r="K422" s="1"/>
      <c r="L422" s="27"/>
      <c r="M422" s="1"/>
      <c r="N422" s="1">
        <f t="shared" ref="N422:N444" si="7">15*1.95568</f>
        <v>29.3352</v>
      </c>
      <c r="O422" s="1">
        <f>Cotton_Buds[[#This Row],[Цена за 1 бр. в BGN]]*Cotton_Buds[[#This Row],[Поръчано Количество]]</f>
        <v>0</v>
      </c>
      <c r="P422" s="1"/>
      <c r="Q422" s="1"/>
      <c r="R422" s="1" t="str" cm="1">
        <f t="array" ref="R422">_xlfn.SWITCH(S422,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22" s="5" t="s">
        <v>1020</v>
      </c>
    </row>
    <row r="423" spans="1:19">
      <c r="A423" s="1" t="s">
        <v>1115</v>
      </c>
      <c r="B423" s="1">
        <v>50</v>
      </c>
      <c r="C423" s="1"/>
      <c r="D423" s="27">
        <v>46038</v>
      </c>
      <c r="E423" s="1" t="s">
        <v>619</v>
      </c>
      <c r="F423" s="33">
        <v>46031.277581018519</v>
      </c>
      <c r="G423" s="1" t="s">
        <v>22</v>
      </c>
      <c r="H423" s="38">
        <v>206552</v>
      </c>
      <c r="I423" s="1" t="s">
        <v>58</v>
      </c>
      <c r="J423" s="27"/>
      <c r="K423" s="1"/>
      <c r="L423" s="27"/>
      <c r="M423" s="1"/>
      <c r="N423" s="1">
        <f t="shared" si="7"/>
        <v>29.3352</v>
      </c>
      <c r="O423" s="1">
        <f>Cotton_Buds[[#This Row],[Цена за 1 бр. в BGN]]*Cotton_Buds[[#This Row],[Поръчано Количество]]</f>
        <v>0</v>
      </c>
      <c r="P423" s="1"/>
      <c r="Q423" s="1"/>
      <c r="R423" s="1" t="str" cm="1">
        <f t="array" ref="R423">_xlfn.SWITCH(S423,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23" s="5" t="s">
        <v>1020</v>
      </c>
    </row>
    <row r="424" spans="1:19">
      <c r="A424" s="1" t="s">
        <v>1116</v>
      </c>
      <c r="B424" s="1">
        <v>20</v>
      </c>
      <c r="C424" s="1"/>
      <c r="D424" s="27">
        <v>46038</v>
      </c>
      <c r="E424" s="1" t="s">
        <v>619</v>
      </c>
      <c r="F424" s="33">
        <v>46031.350740740738</v>
      </c>
      <c r="G424" s="1" t="s">
        <v>22</v>
      </c>
      <c r="H424" s="38">
        <v>206552</v>
      </c>
      <c r="I424" s="1" t="s">
        <v>58</v>
      </c>
      <c r="J424" s="27"/>
      <c r="K424" s="1"/>
      <c r="L424" s="27"/>
      <c r="M424" s="1"/>
      <c r="N424" s="1">
        <f t="shared" si="7"/>
        <v>29.3352</v>
      </c>
      <c r="O424" s="1">
        <f>Cotton_Buds[[#This Row],[Цена за 1 бр. в BGN]]*Cotton_Buds[[#This Row],[Поръчано Количество]]</f>
        <v>0</v>
      </c>
      <c r="P424" s="1"/>
      <c r="Q424" s="1"/>
      <c r="R424" s="1" t="str" cm="1">
        <f t="array" ref="R424">_xlfn.SWITCH(S424,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24" s="5" t="s">
        <v>1020</v>
      </c>
    </row>
    <row r="425" spans="1:19">
      <c r="A425" s="1" t="s">
        <v>1117</v>
      </c>
      <c r="B425" s="1">
        <v>30</v>
      </c>
      <c r="C425" s="1"/>
      <c r="D425" s="27">
        <v>46038</v>
      </c>
      <c r="E425" s="1" t="s">
        <v>619</v>
      </c>
      <c r="F425" s="33">
        <v>46031.352106481485</v>
      </c>
      <c r="G425" s="1" t="s">
        <v>22</v>
      </c>
      <c r="H425" s="38">
        <v>206552</v>
      </c>
      <c r="I425" s="1" t="s">
        <v>58</v>
      </c>
      <c r="J425" s="27"/>
      <c r="K425" s="1"/>
      <c r="L425" s="27"/>
      <c r="M425" s="1"/>
      <c r="N425" s="1">
        <f t="shared" si="7"/>
        <v>29.3352</v>
      </c>
      <c r="O425" s="1">
        <f>Cotton_Buds[[#This Row],[Цена за 1 бр. в BGN]]*Cotton_Buds[[#This Row],[Поръчано Количество]]</f>
        <v>0</v>
      </c>
      <c r="P425" s="1"/>
      <c r="Q425" s="1"/>
      <c r="R425" s="1" t="str" cm="1">
        <f t="array" ref="R425">_xlfn.SWITCH(S425,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25" s="5" t="s">
        <v>1020</v>
      </c>
    </row>
    <row r="426" spans="1:19">
      <c r="A426" s="1" t="s">
        <v>1118</v>
      </c>
      <c r="B426" s="1">
        <v>10</v>
      </c>
      <c r="C426" s="1"/>
      <c r="D426" s="27">
        <v>46038</v>
      </c>
      <c r="E426" s="1" t="s">
        <v>619</v>
      </c>
      <c r="F426" s="33">
        <v>46031.352824074071</v>
      </c>
      <c r="G426" s="1"/>
      <c r="H426" s="1"/>
      <c r="I426" s="1" t="s">
        <v>48</v>
      </c>
      <c r="J426" s="27"/>
      <c r="K426" s="1"/>
      <c r="L426" s="27"/>
      <c r="M426" s="1"/>
      <c r="N426" s="1">
        <f t="shared" si="7"/>
        <v>29.3352</v>
      </c>
      <c r="O426" s="1">
        <f>Cotton_Buds[[#This Row],[Цена за 1 бр. в BGN]]*Cotton_Buds[[#This Row],[Поръчано Количество]]</f>
        <v>0</v>
      </c>
      <c r="P426" s="1"/>
      <c r="Q426" s="1"/>
      <c r="R426" s="1" t="str" cm="1">
        <f t="array" ref="R426">_xlfn.SWITCH(S426,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26" s="5" t="s">
        <v>1020</v>
      </c>
    </row>
    <row r="427" spans="1:19">
      <c r="A427" s="1" t="s">
        <v>1119</v>
      </c>
      <c r="B427" s="1">
        <v>50</v>
      </c>
      <c r="C427" s="1"/>
      <c r="D427" s="27">
        <v>46038</v>
      </c>
      <c r="E427" s="1" t="s">
        <v>619</v>
      </c>
      <c r="F427" s="33">
        <v>46031.354155092595</v>
      </c>
      <c r="G427" s="1" t="s">
        <v>22</v>
      </c>
      <c r="H427" s="38">
        <v>206552</v>
      </c>
      <c r="I427" s="1" t="s">
        <v>58</v>
      </c>
      <c r="J427" s="27"/>
      <c r="K427" s="1"/>
      <c r="L427" s="27"/>
      <c r="M427" s="1"/>
      <c r="N427" s="1">
        <f t="shared" si="7"/>
        <v>29.3352</v>
      </c>
      <c r="O427" s="1">
        <f>Cotton_Buds[[#This Row],[Цена за 1 бр. в BGN]]*Cotton_Buds[[#This Row],[Поръчано Количество]]</f>
        <v>0</v>
      </c>
      <c r="P427" s="1"/>
      <c r="Q427" s="1"/>
      <c r="R427" s="1" t="str" cm="1">
        <f t="array" ref="R427">_xlfn.SWITCH(S427,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27" s="5" t="s">
        <v>1020</v>
      </c>
    </row>
    <row r="428" spans="1:19">
      <c r="A428" s="1" t="s">
        <v>1120</v>
      </c>
      <c r="B428" s="1">
        <v>50</v>
      </c>
      <c r="C428" s="1"/>
      <c r="D428" s="27">
        <v>46038</v>
      </c>
      <c r="E428" s="1" t="s">
        <v>619</v>
      </c>
      <c r="F428" s="33">
        <v>46031.35564814815</v>
      </c>
      <c r="G428" s="1" t="s">
        <v>22</v>
      </c>
      <c r="H428" s="38">
        <v>206552</v>
      </c>
      <c r="I428" s="1" t="s">
        <v>58</v>
      </c>
      <c r="J428" s="27"/>
      <c r="K428" s="1"/>
      <c r="L428" s="27"/>
      <c r="M428" s="1"/>
      <c r="N428" s="1">
        <f t="shared" si="7"/>
        <v>29.3352</v>
      </c>
      <c r="O428" s="1">
        <f>Cotton_Buds[[#This Row],[Цена за 1 бр. в BGN]]*Cotton_Buds[[#This Row],[Поръчано Количество]]</f>
        <v>0</v>
      </c>
      <c r="P428" s="1"/>
      <c r="Q428" s="1"/>
      <c r="R428" s="1" t="str" cm="1">
        <f t="array" ref="R428">_xlfn.SWITCH(S428,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28" s="5" t="s">
        <v>1020</v>
      </c>
    </row>
    <row r="429" spans="1:19">
      <c r="A429" s="1" t="s">
        <v>1121</v>
      </c>
      <c r="B429" s="1">
        <v>30</v>
      </c>
      <c r="C429" s="1"/>
      <c r="D429" s="27">
        <v>46038</v>
      </c>
      <c r="E429" s="1" t="s">
        <v>619</v>
      </c>
      <c r="F429" s="33">
        <v>46031.357870370368</v>
      </c>
      <c r="G429" s="1" t="s">
        <v>22</v>
      </c>
      <c r="H429" s="38">
        <v>206552</v>
      </c>
      <c r="I429" s="1" t="s">
        <v>58</v>
      </c>
      <c r="J429" s="27"/>
      <c r="K429" s="1"/>
      <c r="L429" s="27"/>
      <c r="M429" s="1"/>
      <c r="N429" s="1">
        <f t="shared" si="7"/>
        <v>29.3352</v>
      </c>
      <c r="O429" s="1">
        <f>Cotton_Buds[[#This Row],[Цена за 1 бр. в BGN]]*Cotton_Buds[[#This Row],[Поръчано Количество]]</f>
        <v>0</v>
      </c>
      <c r="P429" s="1"/>
      <c r="Q429" s="1"/>
      <c r="R429" s="1" t="str" cm="1">
        <f t="array" ref="R429">_xlfn.SWITCH(S429,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29" s="5" t="s">
        <v>1020</v>
      </c>
    </row>
    <row r="430" spans="1:19">
      <c r="A430" s="1" t="s">
        <v>1122</v>
      </c>
      <c r="B430" s="1">
        <v>30</v>
      </c>
      <c r="C430" s="1"/>
      <c r="D430" s="27">
        <v>46038</v>
      </c>
      <c r="E430" s="1" t="s">
        <v>619</v>
      </c>
      <c r="F430" s="33">
        <v>46031.358877314815</v>
      </c>
      <c r="G430" s="1" t="s">
        <v>22</v>
      </c>
      <c r="H430" s="38">
        <v>206552</v>
      </c>
      <c r="I430" s="1" t="s">
        <v>58</v>
      </c>
      <c r="J430" s="27"/>
      <c r="K430" s="1"/>
      <c r="L430" s="27"/>
      <c r="M430" s="1"/>
      <c r="N430" s="1">
        <f t="shared" si="7"/>
        <v>29.3352</v>
      </c>
      <c r="O430" s="1">
        <f>Cotton_Buds[[#This Row],[Цена за 1 бр. в BGN]]*Cotton_Buds[[#This Row],[Поръчано Количество]]</f>
        <v>0</v>
      </c>
      <c r="P430" s="1"/>
      <c r="Q430" s="1"/>
      <c r="R430" s="1" t="str" cm="1">
        <f t="array" ref="R430">_xlfn.SWITCH(S430,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30" s="5" t="s">
        <v>1020</v>
      </c>
    </row>
    <row r="431" spans="1:19">
      <c r="A431" s="1" t="s">
        <v>1123</v>
      </c>
      <c r="B431" s="1">
        <v>30</v>
      </c>
      <c r="C431" s="1"/>
      <c r="D431" s="27">
        <v>46038</v>
      </c>
      <c r="E431" s="1" t="s">
        <v>619</v>
      </c>
      <c r="F431" s="33">
        <v>46031.360023148147</v>
      </c>
      <c r="G431" s="1" t="s">
        <v>22</v>
      </c>
      <c r="H431" s="38">
        <v>206552</v>
      </c>
      <c r="I431" s="1" t="s">
        <v>58</v>
      </c>
      <c r="J431" s="27"/>
      <c r="K431" s="1"/>
      <c r="L431" s="27"/>
      <c r="M431" s="1"/>
      <c r="N431" s="1">
        <f t="shared" si="7"/>
        <v>29.3352</v>
      </c>
      <c r="O431" s="1">
        <f>Cotton_Buds[[#This Row],[Цена за 1 бр. в BGN]]*Cotton_Buds[[#This Row],[Поръчано Количество]]</f>
        <v>0</v>
      </c>
      <c r="P431" s="1"/>
      <c r="Q431" s="1"/>
      <c r="R431" s="1" t="str" cm="1">
        <f t="array" ref="R431">_xlfn.SWITCH(S431,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31" s="5" t="s">
        <v>1020</v>
      </c>
    </row>
    <row r="432" spans="1:19">
      <c r="A432" s="1" t="s">
        <v>1124</v>
      </c>
      <c r="B432" s="1">
        <v>30</v>
      </c>
      <c r="C432" s="1"/>
      <c r="D432" s="27">
        <v>46038</v>
      </c>
      <c r="E432" s="1" t="s">
        <v>619</v>
      </c>
      <c r="F432" s="33">
        <v>46031.360590277778</v>
      </c>
      <c r="G432" s="1" t="s">
        <v>22</v>
      </c>
      <c r="H432" s="38">
        <v>206552</v>
      </c>
      <c r="I432" s="1" t="s">
        <v>58</v>
      </c>
      <c r="J432" s="27"/>
      <c r="K432" s="1"/>
      <c r="L432" s="27"/>
      <c r="M432" s="1"/>
      <c r="N432" s="1">
        <f t="shared" si="7"/>
        <v>29.3352</v>
      </c>
      <c r="O432" s="1">
        <f>Cotton_Buds[[#This Row],[Цена за 1 бр. в BGN]]*Cotton_Buds[[#This Row],[Поръчано Количество]]</f>
        <v>0</v>
      </c>
      <c r="P432" s="1"/>
      <c r="Q432" s="1"/>
      <c r="R432" s="1" t="str" cm="1">
        <f t="array" ref="R432">_xlfn.SWITCH(S432,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32" s="5" t="s">
        <v>1020</v>
      </c>
    </row>
    <row r="433" spans="1:19">
      <c r="A433" s="1" t="s">
        <v>1125</v>
      </c>
      <c r="B433" s="1">
        <v>30</v>
      </c>
      <c r="C433" s="1"/>
      <c r="D433" s="27">
        <v>46038</v>
      </c>
      <c r="E433" s="1" t="s">
        <v>619</v>
      </c>
      <c r="F433" s="33">
        <v>46031.360949074071</v>
      </c>
      <c r="G433" s="1" t="s">
        <v>22</v>
      </c>
      <c r="H433" s="38">
        <v>206552</v>
      </c>
      <c r="I433" s="1" t="s">
        <v>58</v>
      </c>
      <c r="J433" s="27"/>
      <c r="K433" s="1"/>
      <c r="L433" s="27"/>
      <c r="M433" s="1"/>
      <c r="N433" s="1">
        <f t="shared" si="7"/>
        <v>29.3352</v>
      </c>
      <c r="O433" s="1">
        <f>Cotton_Buds[[#This Row],[Цена за 1 бр. в BGN]]*Cotton_Buds[[#This Row],[Поръчано Количество]]</f>
        <v>0</v>
      </c>
      <c r="P433" s="1"/>
      <c r="Q433" s="1"/>
      <c r="R433" s="1" t="str" cm="1">
        <f t="array" ref="R433">_xlfn.SWITCH(S433,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33" s="5" t="s">
        <v>1020</v>
      </c>
    </row>
    <row r="434" spans="1:19">
      <c r="A434" s="1" t="s">
        <v>1126</v>
      </c>
      <c r="B434" s="1">
        <v>50</v>
      </c>
      <c r="C434" s="1"/>
      <c r="D434" s="27">
        <v>46038</v>
      </c>
      <c r="E434" s="1" t="s">
        <v>619</v>
      </c>
      <c r="F434" s="33">
        <v>46031.361932870372</v>
      </c>
      <c r="G434" s="1" t="s">
        <v>22</v>
      </c>
      <c r="H434" s="38">
        <v>206552</v>
      </c>
      <c r="I434" s="1" t="s">
        <v>58</v>
      </c>
      <c r="J434" s="27"/>
      <c r="K434" s="1"/>
      <c r="L434" s="27"/>
      <c r="M434" s="1"/>
      <c r="N434" s="1">
        <f t="shared" si="7"/>
        <v>29.3352</v>
      </c>
      <c r="O434" s="1">
        <f>Cotton_Buds[[#This Row],[Цена за 1 бр. в BGN]]*Cotton_Buds[[#This Row],[Поръчано Количество]]</f>
        <v>0</v>
      </c>
      <c r="P434" s="1"/>
      <c r="Q434" s="1"/>
      <c r="R434" s="1" t="str" cm="1">
        <f t="array" ref="R434">_xlfn.SWITCH(S434,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34" s="5" t="s">
        <v>1020</v>
      </c>
    </row>
    <row r="435" spans="1:19">
      <c r="A435" s="1" t="s">
        <v>1127</v>
      </c>
      <c r="B435" s="1">
        <v>50</v>
      </c>
      <c r="C435" s="1"/>
      <c r="D435" s="27">
        <v>46038</v>
      </c>
      <c r="E435" s="1" t="s">
        <v>619</v>
      </c>
      <c r="F435" s="33">
        <v>46031.362210648149</v>
      </c>
      <c r="G435" s="1" t="s">
        <v>22</v>
      </c>
      <c r="H435" s="38">
        <v>206552</v>
      </c>
      <c r="I435" s="1" t="s">
        <v>58</v>
      </c>
      <c r="J435" s="27"/>
      <c r="K435" s="1"/>
      <c r="L435" s="27"/>
      <c r="M435" s="1"/>
      <c r="N435" s="1">
        <f t="shared" si="7"/>
        <v>29.3352</v>
      </c>
      <c r="O435" s="1">
        <f>Cotton_Buds[[#This Row],[Цена за 1 бр. в BGN]]*Cotton_Buds[[#This Row],[Поръчано Количество]]</f>
        <v>0</v>
      </c>
      <c r="P435" s="1"/>
      <c r="Q435" s="1"/>
      <c r="R435" s="1" t="str" cm="1">
        <f t="array" ref="R435">_xlfn.SWITCH(S435,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35" s="5" t="s">
        <v>1020</v>
      </c>
    </row>
    <row r="436" spans="1:19">
      <c r="A436" s="1" t="s">
        <v>1128</v>
      </c>
      <c r="B436" s="1">
        <v>50</v>
      </c>
      <c r="C436" s="1"/>
      <c r="D436" s="27">
        <v>46038</v>
      </c>
      <c r="E436" s="1" t="s">
        <v>619</v>
      </c>
      <c r="F436" s="33">
        <v>46031.362511574072</v>
      </c>
      <c r="G436" s="1" t="s">
        <v>22</v>
      </c>
      <c r="H436" s="38">
        <v>206552</v>
      </c>
      <c r="I436" s="1" t="s">
        <v>58</v>
      </c>
      <c r="J436" s="27"/>
      <c r="K436" s="1"/>
      <c r="L436" s="27"/>
      <c r="M436" s="1"/>
      <c r="N436" s="1">
        <f t="shared" si="7"/>
        <v>29.3352</v>
      </c>
      <c r="O436" s="1">
        <f>Cotton_Buds[[#This Row],[Цена за 1 бр. в BGN]]*Cotton_Buds[[#This Row],[Поръчано Количество]]</f>
        <v>0</v>
      </c>
      <c r="P436" s="1"/>
      <c r="Q436" s="1"/>
      <c r="R436" s="1" t="str" cm="1">
        <f t="array" ref="R436">_xlfn.SWITCH(S436,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36" s="5" t="s">
        <v>1020</v>
      </c>
    </row>
    <row r="437" spans="1:19">
      <c r="A437" s="1" t="s">
        <v>1129</v>
      </c>
      <c r="B437" s="1">
        <v>50</v>
      </c>
      <c r="C437" s="1"/>
      <c r="D437" s="27">
        <v>46038</v>
      </c>
      <c r="E437" s="1" t="s">
        <v>619</v>
      </c>
      <c r="F437" s="33">
        <v>46031.362743055557</v>
      </c>
      <c r="G437" s="1" t="s">
        <v>22</v>
      </c>
      <c r="H437" s="38">
        <v>206552</v>
      </c>
      <c r="I437" s="1" t="s">
        <v>58</v>
      </c>
      <c r="J437" s="27"/>
      <c r="K437" s="1"/>
      <c r="L437" s="27"/>
      <c r="M437" s="1"/>
      <c r="N437" s="1">
        <f t="shared" si="7"/>
        <v>29.3352</v>
      </c>
      <c r="O437" s="1">
        <f>Cotton_Buds[[#This Row],[Цена за 1 бр. в BGN]]*Cotton_Buds[[#This Row],[Поръчано Количество]]</f>
        <v>0</v>
      </c>
      <c r="P437" s="1"/>
      <c r="Q437" s="1"/>
      <c r="R437" s="1" t="str" cm="1">
        <f t="array" ref="R437">_xlfn.SWITCH(S437,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37" s="5" t="s">
        <v>1020</v>
      </c>
    </row>
    <row r="438" spans="1:19">
      <c r="A438" s="1" t="s">
        <v>1130</v>
      </c>
      <c r="B438" s="1">
        <v>50</v>
      </c>
      <c r="C438" s="1"/>
      <c r="D438" s="27">
        <v>46038</v>
      </c>
      <c r="E438" s="1" t="s">
        <v>619</v>
      </c>
      <c r="F438" s="33">
        <v>46031.363657407404</v>
      </c>
      <c r="G438" s="1" t="s">
        <v>22</v>
      </c>
      <c r="H438" s="38">
        <v>206552</v>
      </c>
      <c r="I438" s="1" t="s">
        <v>58</v>
      </c>
      <c r="J438" s="27"/>
      <c r="K438" s="1"/>
      <c r="L438" s="27"/>
      <c r="M438" s="1"/>
      <c r="N438" s="1">
        <f t="shared" si="7"/>
        <v>29.3352</v>
      </c>
      <c r="O438" s="1">
        <f>Cotton_Buds[[#This Row],[Цена за 1 бр. в BGN]]*Cotton_Buds[[#This Row],[Поръчано Количество]]</f>
        <v>0</v>
      </c>
      <c r="P438" s="1"/>
      <c r="Q438" s="1"/>
      <c r="R438" s="1" t="str" cm="1">
        <f t="array" ref="R438">_xlfn.SWITCH(S438,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38" s="5" t="s">
        <v>1020</v>
      </c>
    </row>
    <row r="439" spans="1:19">
      <c r="A439" s="1" t="s">
        <v>1131</v>
      </c>
      <c r="B439" s="1">
        <v>50</v>
      </c>
      <c r="C439" s="1"/>
      <c r="D439" s="27">
        <v>46038</v>
      </c>
      <c r="E439" s="1" t="s">
        <v>619</v>
      </c>
      <c r="F439" s="33">
        <v>46031.36414351852</v>
      </c>
      <c r="G439" s="1" t="s">
        <v>22</v>
      </c>
      <c r="H439" s="38">
        <v>206552</v>
      </c>
      <c r="I439" s="1" t="s">
        <v>58</v>
      </c>
      <c r="J439" s="27"/>
      <c r="K439" s="1"/>
      <c r="L439" s="27"/>
      <c r="M439" s="1"/>
      <c r="N439" s="1">
        <f t="shared" si="7"/>
        <v>29.3352</v>
      </c>
      <c r="O439" s="1">
        <f>Cotton_Buds[[#This Row],[Цена за 1 бр. в BGN]]*Cotton_Buds[[#This Row],[Поръчано Количество]]</f>
        <v>0</v>
      </c>
      <c r="P439" s="1"/>
      <c r="Q439" s="1"/>
      <c r="R439" s="1" t="str" cm="1">
        <f t="array" ref="R439">_xlfn.SWITCH(S439,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39" s="5" t="s">
        <v>1020</v>
      </c>
    </row>
    <row r="440" spans="1:19">
      <c r="A440" s="1" t="s">
        <v>1132</v>
      </c>
      <c r="B440" s="1">
        <v>30</v>
      </c>
      <c r="C440" s="1"/>
      <c r="D440" s="27">
        <v>46038</v>
      </c>
      <c r="E440" s="1" t="s">
        <v>619</v>
      </c>
      <c r="F440" s="33">
        <v>46031.365231481483</v>
      </c>
      <c r="G440" s="1" t="s">
        <v>22</v>
      </c>
      <c r="H440" s="38">
        <v>206552</v>
      </c>
      <c r="I440" s="1" t="s">
        <v>58</v>
      </c>
      <c r="J440" s="27"/>
      <c r="K440" s="1"/>
      <c r="L440" s="27"/>
      <c r="M440" s="1"/>
      <c r="N440" s="1">
        <f t="shared" si="7"/>
        <v>29.3352</v>
      </c>
      <c r="O440" s="1">
        <f>Cotton_Buds[[#This Row],[Цена за 1 бр. в BGN]]*Cotton_Buds[[#This Row],[Поръчано Количество]]</f>
        <v>0</v>
      </c>
      <c r="P440" s="1"/>
      <c r="Q440" s="1"/>
      <c r="R440" s="1" t="str" cm="1">
        <f t="array" ref="R440">_xlfn.SWITCH(S440,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40" s="5" t="s">
        <v>1020</v>
      </c>
    </row>
    <row r="441" spans="1:19">
      <c r="A441" s="1" t="s">
        <v>1133</v>
      </c>
      <c r="B441" s="1">
        <v>30</v>
      </c>
      <c r="C441" s="1"/>
      <c r="D441" s="27">
        <v>46038</v>
      </c>
      <c r="E441" s="1" t="s">
        <v>619</v>
      </c>
      <c r="F441" s="33">
        <v>46031.365520833337</v>
      </c>
      <c r="G441" s="1" t="s">
        <v>22</v>
      </c>
      <c r="H441" s="38">
        <v>206552</v>
      </c>
      <c r="I441" s="1" t="s">
        <v>58</v>
      </c>
      <c r="J441" s="27"/>
      <c r="K441" s="1"/>
      <c r="L441" s="27"/>
      <c r="M441" s="1"/>
      <c r="N441" s="1">
        <f t="shared" si="7"/>
        <v>29.3352</v>
      </c>
      <c r="O441" s="1">
        <f>Cotton_Buds[[#This Row],[Цена за 1 бр. в BGN]]*Cotton_Buds[[#This Row],[Поръчано Количество]]</f>
        <v>0</v>
      </c>
      <c r="P441" s="1"/>
      <c r="Q441" s="1"/>
      <c r="R441" s="1" t="str" cm="1">
        <f t="array" ref="R441">_xlfn.SWITCH(S441,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41" s="5" t="s">
        <v>1020</v>
      </c>
    </row>
    <row r="442" spans="1:19">
      <c r="A442" s="1" t="s">
        <v>1134</v>
      </c>
      <c r="B442" s="1">
        <v>30</v>
      </c>
      <c r="C442" s="1"/>
      <c r="D442" s="27">
        <v>46038</v>
      </c>
      <c r="E442" s="1" t="s">
        <v>619</v>
      </c>
      <c r="F442" s="33">
        <v>46031.365868055553</v>
      </c>
      <c r="G442" s="1" t="s">
        <v>22</v>
      </c>
      <c r="H442" s="38">
        <v>206552</v>
      </c>
      <c r="I442" s="1" t="s">
        <v>58</v>
      </c>
      <c r="J442" s="27"/>
      <c r="K442" s="1"/>
      <c r="L442" s="27"/>
      <c r="M442" s="1"/>
      <c r="N442" s="1">
        <f t="shared" si="7"/>
        <v>29.3352</v>
      </c>
      <c r="O442" s="1">
        <f>Cotton_Buds[[#This Row],[Цена за 1 бр. в BGN]]*Cotton_Buds[[#This Row],[Поръчано Количество]]</f>
        <v>0</v>
      </c>
      <c r="P442" s="1"/>
      <c r="Q442" s="1"/>
      <c r="R442" s="1" t="str" cm="1">
        <f t="array" ref="R442">_xlfn.SWITCH(S442,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42" s="5" t="s">
        <v>1020</v>
      </c>
    </row>
    <row r="443" spans="1:19">
      <c r="A443" s="1" t="s">
        <v>1135</v>
      </c>
      <c r="B443" s="1">
        <v>20</v>
      </c>
      <c r="C443" s="1"/>
      <c r="D443" s="27">
        <v>46038</v>
      </c>
      <c r="E443" s="1" t="s">
        <v>619</v>
      </c>
      <c r="F443" s="33">
        <v>46032.429583333331</v>
      </c>
      <c r="G443" s="1" t="s">
        <v>22</v>
      </c>
      <c r="H443" s="38">
        <v>206552</v>
      </c>
      <c r="I443" s="1" t="s">
        <v>58</v>
      </c>
      <c r="J443" s="27"/>
      <c r="K443" s="1"/>
      <c r="L443" s="27"/>
      <c r="M443" s="1"/>
      <c r="N443" s="1">
        <f t="shared" si="7"/>
        <v>29.3352</v>
      </c>
      <c r="O443" s="1">
        <f>Cotton_Buds[[#This Row],[Цена за 1 бр. в BGN]]*Cotton_Buds[[#This Row],[Поръчано Количество]]</f>
        <v>0</v>
      </c>
      <c r="P443" s="1"/>
      <c r="Q443" s="1"/>
      <c r="R443" s="1" t="str" cm="1">
        <f t="array" ref="R443">_xlfn.SWITCH(S443,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43" s="5" t="s">
        <v>1020</v>
      </c>
    </row>
    <row r="444" spans="1:19">
      <c r="A444" s="1" t="s">
        <v>1136</v>
      </c>
      <c r="B444" s="1">
        <v>30</v>
      </c>
      <c r="C444" s="1"/>
      <c r="D444" s="27">
        <v>46038</v>
      </c>
      <c r="E444" s="1" t="s">
        <v>619</v>
      </c>
      <c r="F444" s="33">
        <v>46032.430659722224</v>
      </c>
      <c r="G444" s="1" t="s">
        <v>22</v>
      </c>
      <c r="H444" s="38">
        <v>206552</v>
      </c>
      <c r="I444" s="1" t="s">
        <v>58</v>
      </c>
      <c r="J444" s="27"/>
      <c r="K444" s="1"/>
      <c r="L444" s="27"/>
      <c r="M444" s="1"/>
      <c r="N444" s="1">
        <f t="shared" si="7"/>
        <v>29.3352</v>
      </c>
      <c r="O444" s="1">
        <f>Cotton_Buds[[#This Row],[Цена за 1 бр. в BGN]]*Cotton_Buds[[#This Row],[Поръчано Количество]]</f>
        <v>0</v>
      </c>
      <c r="P444" s="1"/>
      <c r="Q444" s="1"/>
      <c r="R444" s="1" t="str" cm="1">
        <f t="array" ref="R444">_xlfn.SWITCH(S444,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44" s="5" t="s">
        <v>1020</v>
      </c>
    </row>
    <row r="445" spans="1:19">
      <c r="A445" s="1" t="s">
        <v>1137</v>
      </c>
      <c r="B445" s="1">
        <v>5</v>
      </c>
      <c r="C445" s="1"/>
      <c r="D445" s="27">
        <v>46045</v>
      </c>
      <c r="E445" s="1" t="s">
        <v>619</v>
      </c>
      <c r="F445" s="33">
        <v>46034.533206018517</v>
      </c>
      <c r="G445" s="1"/>
      <c r="H445" s="1"/>
      <c r="I445" s="1" t="s">
        <v>883</v>
      </c>
      <c r="J445" s="27"/>
      <c r="K445" s="1"/>
      <c r="L445" s="27"/>
      <c r="M445" s="1"/>
      <c r="N445" s="1">
        <f t="shared" ref="N445:N449" si="8">15*1.95568</f>
        <v>29.3352</v>
      </c>
      <c r="O445" s="1">
        <f>Cotton_Buds[[#This Row],[Цена за 1 бр. в BGN]]*Cotton_Buds[[#This Row],[Поръчано Количество]]</f>
        <v>0</v>
      </c>
      <c r="P445" s="1"/>
      <c r="Q445" s="1"/>
      <c r="R445" s="1" t="str" cm="1">
        <f t="array" ref="R445">_xlfn.SWITCH(S445,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45" s="5" t="s">
        <v>1020</v>
      </c>
    </row>
    <row r="446" spans="1:19">
      <c r="A446" s="1" t="s">
        <v>1138</v>
      </c>
      <c r="B446" s="1">
        <v>50</v>
      </c>
      <c r="C446" s="1">
        <v>100</v>
      </c>
      <c r="D446" s="27">
        <v>46042</v>
      </c>
      <c r="E446" s="1" t="s">
        <v>619</v>
      </c>
      <c r="F446" s="33">
        <v>46036.215752314813</v>
      </c>
      <c r="G446" s="1" t="s">
        <v>22</v>
      </c>
      <c r="H446" s="39" t="s">
        <v>902</v>
      </c>
      <c r="I446" s="1" t="s">
        <v>35</v>
      </c>
      <c r="J446" s="27"/>
      <c r="K446" s="1"/>
      <c r="L446" s="27">
        <v>46066</v>
      </c>
      <c r="M446" s="1"/>
      <c r="N446" s="1">
        <f t="shared" si="8"/>
        <v>29.3352</v>
      </c>
      <c r="O446" s="1">
        <f>Cotton_Buds[[#This Row],[Цена за 1 бр. в BGN]]*Cotton_Buds[[#This Row],[Поръчано Количество]]</f>
        <v>2933.52</v>
      </c>
      <c r="P446" s="1"/>
      <c r="Q446" s="1"/>
      <c r="R446" s="1" t="str" cm="1">
        <f t="array" ref="R446">_xlfn.SWITCH(S446,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46" s="5" t="s">
        <v>1020</v>
      </c>
    </row>
    <row r="447" spans="1:19">
      <c r="A447" s="1" t="s">
        <v>1139</v>
      </c>
      <c r="B447" s="1">
        <v>20</v>
      </c>
      <c r="C447" s="1"/>
      <c r="D447" s="27">
        <v>46045</v>
      </c>
      <c r="E447" s="1" t="s">
        <v>619</v>
      </c>
      <c r="F447" s="33">
        <v>46038.430578703701</v>
      </c>
      <c r="G447" s="1" t="s">
        <v>22</v>
      </c>
      <c r="H447" s="38">
        <v>206552</v>
      </c>
      <c r="I447" s="1" t="s">
        <v>58</v>
      </c>
      <c r="J447" s="27"/>
      <c r="K447" s="1"/>
      <c r="L447" s="27"/>
      <c r="M447" s="1"/>
      <c r="N447" s="1">
        <f t="shared" si="8"/>
        <v>29.3352</v>
      </c>
      <c r="O447" s="1">
        <f>Cotton_Buds[[#This Row],[Цена за 1 бр. в BGN]]*Cotton_Buds[[#This Row],[Поръчано Количество]]</f>
        <v>0</v>
      </c>
      <c r="P447" s="1"/>
      <c r="Q447" s="1"/>
      <c r="R447" s="1" t="str" cm="1">
        <f t="array" ref="R447">_xlfn.SWITCH(S447,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47" s="5" t="s">
        <v>1020</v>
      </c>
    </row>
    <row r="448" spans="1:19">
      <c r="A448" s="1" t="s">
        <v>1140</v>
      </c>
      <c r="B448" s="1">
        <v>20</v>
      </c>
      <c r="C448" s="1"/>
      <c r="D448" s="27">
        <v>46045</v>
      </c>
      <c r="E448" s="1" t="s">
        <v>619</v>
      </c>
      <c r="F448" s="33">
        <v>46038.431481481479</v>
      </c>
      <c r="G448" s="1"/>
      <c r="H448" s="1"/>
      <c r="I448" s="1"/>
      <c r="J448" s="27"/>
      <c r="K448" s="1"/>
      <c r="L448" s="27"/>
      <c r="M448" s="1"/>
      <c r="N448" s="1">
        <f t="shared" si="8"/>
        <v>29.3352</v>
      </c>
      <c r="O448" s="1">
        <f>Cotton_Buds[[#This Row],[Цена за 1 бр. в BGN]]*Cotton_Buds[[#This Row],[Поръчано Количество]]</f>
        <v>0</v>
      </c>
      <c r="P448" s="1"/>
      <c r="Q448" s="1"/>
      <c r="R448" s="1" t="str" cm="1">
        <f t="array" ref="R448">_xlfn.SWITCH(S448,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48" s="5" t="s">
        <v>1020</v>
      </c>
    </row>
    <row r="449" spans="1:19" ht="30">
      <c r="A449" s="1" t="s">
        <v>1141</v>
      </c>
      <c r="B449" s="1">
        <v>30</v>
      </c>
      <c r="C449" s="1">
        <v>30</v>
      </c>
      <c r="D449" s="27">
        <v>46053</v>
      </c>
      <c r="E449" s="1" t="s">
        <v>602</v>
      </c>
      <c r="F449" s="33">
        <v>46042.361851851849</v>
      </c>
      <c r="G449" s="1" t="s">
        <v>22</v>
      </c>
      <c r="H449" s="1" t="s">
        <v>1007</v>
      </c>
      <c r="I449" s="1" t="s">
        <v>46</v>
      </c>
      <c r="J449" s="27">
        <v>46057</v>
      </c>
      <c r="K449" s="1"/>
      <c r="L449" s="27"/>
      <c r="M449" s="1"/>
      <c r="N449" s="1">
        <f t="shared" si="8"/>
        <v>29.3352</v>
      </c>
      <c r="O449" s="1">
        <f>Cotton_Buds[[#This Row],[Цена за 1 бр. в BGN]]*Cotton_Buds[[#This Row],[Поръчано Количество]]</f>
        <v>880.05600000000004</v>
      </c>
      <c r="P449" s="1"/>
      <c r="Q449" s="1"/>
      <c r="R449" s="1" t="str" cm="1">
        <f t="array" ref="R449">_xlfn.SWITCH(S449,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49" s="5" t="s">
        <v>461</v>
      </c>
    </row>
    <row r="450" spans="1:19" ht="30">
      <c r="A450" s="1" t="s">
        <v>1142</v>
      </c>
      <c r="B450" s="1">
        <v>4</v>
      </c>
      <c r="C450" s="1">
        <v>4</v>
      </c>
      <c r="D450" s="27">
        <v>46060</v>
      </c>
      <c r="E450" s="1" t="s">
        <v>595</v>
      </c>
      <c r="F450" s="33">
        <v>46043.250983796293</v>
      </c>
      <c r="G450" s="1" t="s">
        <v>22</v>
      </c>
      <c r="H450" s="1" t="s">
        <v>1143</v>
      </c>
      <c r="I450" s="1" t="s">
        <v>104</v>
      </c>
      <c r="J450" s="27">
        <v>46045</v>
      </c>
      <c r="K450" s="1"/>
      <c r="L450" s="27">
        <v>46045</v>
      </c>
      <c r="M450" s="1">
        <v>4</v>
      </c>
      <c r="N450" s="1">
        <f>50.13*1.95583</f>
        <v>98.045757899999998</v>
      </c>
      <c r="O450" s="1">
        <f>Cotton_Buds[[#This Row],[Цена за 1 бр. в BGN]]*Cotton_Buds[[#This Row],[Поръчано Количество]]</f>
        <v>392.18303159999999</v>
      </c>
      <c r="P450" s="1"/>
      <c r="Q450" s="1"/>
      <c r="R450" s="1" t="str" cm="1">
        <f t="array" ref="R450">_xlfn.SWITCH(S450,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50" s="5" t="s">
        <v>461</v>
      </c>
    </row>
    <row r="451" spans="1:19" ht="30">
      <c r="A451" s="1" t="s">
        <v>1144</v>
      </c>
      <c r="B451" s="1">
        <v>2</v>
      </c>
      <c r="C451" s="1"/>
      <c r="D451" s="27">
        <v>46052</v>
      </c>
      <c r="E451" s="1" t="s">
        <v>619</v>
      </c>
      <c r="F451" s="33">
        <v>46043.253425925926</v>
      </c>
      <c r="G451" s="1"/>
      <c r="H451" s="1"/>
      <c r="I451" s="1"/>
      <c r="J451" s="27"/>
      <c r="K451" s="1"/>
      <c r="L451" s="27"/>
      <c r="M451" s="1"/>
      <c r="N451" s="1">
        <f>15*1.95568</f>
        <v>29.3352</v>
      </c>
      <c r="O451" s="1">
        <f>Cotton_Buds[[#This Row],[Цена за 1 бр. в BGN]]*Cotton_Buds[[#This Row],[Поръчано Количество]]</f>
        <v>0</v>
      </c>
      <c r="P451" s="1"/>
      <c r="Q451" s="1"/>
      <c r="R451" s="1" t="str" cm="1">
        <f t="array" ref="R451">_xlfn.SWITCH(S451,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51" s="5" t="s">
        <v>1020</v>
      </c>
    </row>
    <row r="452" spans="1:19" ht="30">
      <c r="A452" s="1" t="s">
        <v>1145</v>
      </c>
      <c r="B452" s="1">
        <v>10</v>
      </c>
      <c r="C452" s="1"/>
      <c r="D452" s="27">
        <v>46045</v>
      </c>
      <c r="E452" s="1" t="s">
        <v>595</v>
      </c>
      <c r="F452" s="33">
        <v>46044.481111111112</v>
      </c>
      <c r="G452" s="1" t="s">
        <v>22</v>
      </c>
      <c r="H452" s="1" t="s">
        <v>1146</v>
      </c>
      <c r="I452" s="1" t="s">
        <v>24</v>
      </c>
      <c r="J452" s="27">
        <v>46045</v>
      </c>
      <c r="K452" s="1"/>
      <c r="L452" s="27">
        <v>46045</v>
      </c>
      <c r="M452" s="1">
        <v>10</v>
      </c>
      <c r="N452" s="1">
        <f>6.546*1.95583</f>
        <v>12.802863180000001</v>
      </c>
      <c r="O452" s="1">
        <f>Cotton_Buds[[#This Row],[Цена за 1 бр. в BGN]]*Cotton_Buds[[#This Row],[Поръчано Количество]]</f>
        <v>0</v>
      </c>
      <c r="P452" s="1"/>
      <c r="Q452" s="1"/>
      <c r="R452" s="1" t="str" cm="1">
        <f t="array" ref="R452">_xlfn.SWITCH(S452,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52" s="5" t="s">
        <v>461</v>
      </c>
    </row>
    <row r="453" spans="1:19" ht="30">
      <c r="A453" s="1" t="s">
        <v>1147</v>
      </c>
      <c r="B453" s="1">
        <v>2</v>
      </c>
      <c r="C453" s="1"/>
      <c r="D453" s="27">
        <v>46052</v>
      </c>
      <c r="E453" s="1" t="s">
        <v>619</v>
      </c>
      <c r="F453" s="33">
        <v>46045.331354166665</v>
      </c>
      <c r="G453" s="1"/>
      <c r="H453" s="1"/>
      <c r="I453" s="1"/>
      <c r="J453" s="27"/>
      <c r="K453" s="1"/>
      <c r="L453" s="27"/>
      <c r="M453" s="1"/>
      <c r="N453" s="1">
        <f t="shared" ref="N453:N459" si="9">15*1.95568</f>
        <v>29.3352</v>
      </c>
      <c r="O453" s="1">
        <f>Cotton_Buds[[#This Row],[Цена за 1 бр. в BGN]]*Cotton_Buds[[#This Row],[Поръчано Количество]]</f>
        <v>0</v>
      </c>
      <c r="P453" s="1"/>
      <c r="Q453" s="1"/>
      <c r="R453" s="1" t="str" cm="1">
        <f t="array" ref="R453">_xlfn.SWITCH(S453,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53" s="5" t="s">
        <v>1020</v>
      </c>
    </row>
    <row r="454" spans="1:19">
      <c r="A454" s="1" t="s">
        <v>1148</v>
      </c>
      <c r="B454" s="1">
        <v>2</v>
      </c>
      <c r="C454" s="1"/>
      <c r="D454" s="27">
        <v>46052</v>
      </c>
      <c r="E454" s="1" t="s">
        <v>600</v>
      </c>
      <c r="F454" s="33">
        <v>46045.358240740738</v>
      </c>
      <c r="G454" s="1"/>
      <c r="H454" s="1"/>
      <c r="I454" s="1" t="s">
        <v>261</v>
      </c>
      <c r="J454" s="27"/>
      <c r="K454" s="1"/>
      <c r="L454" s="27"/>
      <c r="M454" s="1"/>
      <c r="N454" s="1">
        <f t="shared" si="9"/>
        <v>29.3352</v>
      </c>
      <c r="O454" s="1">
        <f>Cotton_Buds[[#This Row],[Цена за 1 бр. в BGN]]*Cotton_Buds[[#This Row],[Поръчано Количество]]</f>
        <v>0</v>
      </c>
      <c r="P454" s="1"/>
      <c r="Q454" s="1"/>
      <c r="R454" s="1" t="str" cm="1">
        <f t="array" ref="R454">_xlfn.SWITCH(S454,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54" s="5" t="s">
        <v>1020</v>
      </c>
    </row>
    <row r="455" spans="1:19">
      <c r="A455" s="1" t="s">
        <v>1149</v>
      </c>
      <c r="B455" s="1">
        <v>10</v>
      </c>
      <c r="C455" s="1">
        <v>10</v>
      </c>
      <c r="D455" s="27">
        <v>46059</v>
      </c>
      <c r="E455" s="1" t="s">
        <v>619</v>
      </c>
      <c r="F455" s="33">
        <v>46049.541377314818</v>
      </c>
      <c r="G455" s="1" t="s">
        <v>235</v>
      </c>
      <c r="H455" s="1" t="s">
        <v>1150</v>
      </c>
      <c r="I455" s="1" t="s">
        <v>667</v>
      </c>
      <c r="J455" s="27">
        <v>46073</v>
      </c>
      <c r="K455" s="1"/>
      <c r="L455" s="27"/>
      <c r="M455" s="1"/>
      <c r="N455" s="1">
        <f>69.93*1.95583</f>
        <v>136.77119190000002</v>
      </c>
      <c r="O455" s="1">
        <f>Cotton_Buds[[#This Row],[Цена за 1 бр. в BGN]]*Cotton_Buds[[#This Row],[Поръчано Количество]]</f>
        <v>1367.7119190000003</v>
      </c>
      <c r="P455" s="1"/>
      <c r="Q455" s="1"/>
      <c r="R455" s="1" t="str" cm="1">
        <f t="array" ref="R455">_xlfn.SWITCH(S455,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55" s="5" t="s">
        <v>1020</v>
      </c>
    </row>
    <row r="456" spans="1:19">
      <c r="A456" s="1" t="s">
        <v>1151</v>
      </c>
      <c r="B456" s="1">
        <v>10</v>
      </c>
      <c r="C456" s="1"/>
      <c r="D456" s="27">
        <v>46053</v>
      </c>
      <c r="E456" s="1" t="s">
        <v>602</v>
      </c>
      <c r="F456" s="33">
        <v>46050.305219907408</v>
      </c>
      <c r="G456" s="1" t="s">
        <v>22</v>
      </c>
      <c r="H456" s="1" t="s">
        <v>1152</v>
      </c>
      <c r="I456" s="1" t="s">
        <v>24</v>
      </c>
      <c r="J456" s="27">
        <v>46052</v>
      </c>
      <c r="K456" s="1"/>
      <c r="L456" s="27">
        <v>46053</v>
      </c>
      <c r="M456" s="1"/>
      <c r="N456" s="1">
        <f t="shared" si="9"/>
        <v>29.3352</v>
      </c>
      <c r="O456" s="1">
        <f>Cotton_Buds[[#This Row],[Цена за 1 бр. в BGN]]*Cotton_Buds[[#This Row],[Поръчано Количество]]</f>
        <v>0</v>
      </c>
      <c r="P456" s="1"/>
      <c r="Q456" s="1"/>
      <c r="R456" s="1" t="str" cm="1">
        <f t="array" ref="R456">_xlfn.SWITCH(S456,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56" s="5" t="s">
        <v>1020</v>
      </c>
    </row>
    <row r="457" spans="1:19">
      <c r="A457" s="1" t="s">
        <v>1153</v>
      </c>
      <c r="B457" s="1">
        <v>2</v>
      </c>
      <c r="C457" s="1">
        <v>2</v>
      </c>
      <c r="D457" s="27">
        <v>46052</v>
      </c>
      <c r="E457" s="1" t="s">
        <v>619</v>
      </c>
      <c r="F457" s="33">
        <v>46050.333495370367</v>
      </c>
      <c r="G457" s="1" t="s">
        <v>22</v>
      </c>
      <c r="H457" s="1" t="s">
        <v>1007</v>
      </c>
      <c r="I457" s="1" t="s">
        <v>46</v>
      </c>
      <c r="J457" s="27">
        <v>46052</v>
      </c>
      <c r="K457" s="1"/>
      <c r="L457" s="27"/>
      <c r="M457" s="1"/>
      <c r="N457" s="1">
        <f t="shared" si="9"/>
        <v>29.3352</v>
      </c>
      <c r="O457" s="1">
        <f>Cotton_Buds[[#This Row],[Цена за 1 бр. в BGN]]*Cotton_Buds[[#This Row],[Поръчано Количество]]</f>
        <v>58.670400000000001</v>
      </c>
      <c r="P457" s="1"/>
      <c r="Q457" s="1"/>
      <c r="R457" s="1" t="str" cm="1">
        <f t="array" ref="R457">_xlfn.SWITCH(S457,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57" s="5" t="s">
        <v>1020</v>
      </c>
    </row>
    <row r="458" spans="1:19" ht="30">
      <c r="A458" s="1" t="s">
        <v>1154</v>
      </c>
      <c r="B458" s="1">
        <v>50</v>
      </c>
      <c r="C458" s="1">
        <v>50</v>
      </c>
      <c r="D458" s="27">
        <v>46059</v>
      </c>
      <c r="E458" s="1" t="s">
        <v>602</v>
      </c>
      <c r="F458" s="33">
        <v>46050.691666666666</v>
      </c>
      <c r="G458" s="1" t="s">
        <v>22</v>
      </c>
      <c r="H458" s="1" t="s">
        <v>1007</v>
      </c>
      <c r="I458" s="1" t="s">
        <v>46</v>
      </c>
      <c r="J458" s="27">
        <v>46052</v>
      </c>
      <c r="K458" s="1"/>
      <c r="L458" s="27"/>
      <c r="M458" s="1"/>
      <c r="N458" s="1">
        <f t="shared" si="9"/>
        <v>29.3352</v>
      </c>
      <c r="O458" s="1">
        <f>Cotton_Buds[[#This Row],[Цена за 1 бр. в BGN]]*Cotton_Buds[[#This Row],[Поръчано Количество]]</f>
        <v>1466.76</v>
      </c>
      <c r="P458" s="1"/>
      <c r="Q458" s="1"/>
      <c r="R458" s="1" t="str" cm="1">
        <f t="array" ref="R458">_xlfn.SWITCH(S458,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58" s="5" t="s">
        <v>461</v>
      </c>
    </row>
    <row r="459" spans="1:19">
      <c r="A459" s="1" t="s">
        <v>1155</v>
      </c>
      <c r="B459" s="1">
        <v>20</v>
      </c>
      <c r="C459" s="1"/>
      <c r="D459" s="27">
        <v>46059</v>
      </c>
      <c r="E459" s="1" t="s">
        <v>619</v>
      </c>
      <c r="F459" s="33">
        <v>46051.313217592593</v>
      </c>
      <c r="G459" s="1"/>
      <c r="H459" s="1"/>
      <c r="I459" s="1" t="s">
        <v>24</v>
      </c>
      <c r="J459" s="27"/>
      <c r="K459" s="1"/>
      <c r="L459" s="27"/>
      <c r="M459" s="1"/>
      <c r="N459" s="1">
        <f t="shared" si="9"/>
        <v>29.3352</v>
      </c>
      <c r="O459" s="1">
        <f>Cotton_Buds[[#This Row],[Цена за 1 бр. в BGN]]*Cotton_Buds[[#This Row],[Поръчано Количество]]</f>
        <v>0</v>
      </c>
      <c r="P459" s="1"/>
      <c r="Q459" s="1"/>
      <c r="R459" s="1" t="str" cm="1">
        <f t="array" ref="R459">_xlfn.SWITCH(S459,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59" s="5" t="s">
        <v>1020</v>
      </c>
    </row>
    <row r="460" spans="1:19">
      <c r="A460" s="1" t="s">
        <v>1156</v>
      </c>
      <c r="B460" s="1">
        <v>2</v>
      </c>
      <c r="C460" s="1"/>
      <c r="D460" s="27">
        <v>46059</v>
      </c>
      <c r="E460" s="1" t="s">
        <v>619</v>
      </c>
      <c r="F460" s="33">
        <v>46052.475057870368</v>
      </c>
      <c r="G460" s="1"/>
      <c r="H460" s="1"/>
      <c r="I460" s="1"/>
      <c r="J460" s="27"/>
      <c r="K460" s="1"/>
      <c r="L460" s="27"/>
      <c r="M460" s="1"/>
      <c r="N460" s="1">
        <f t="shared" ref="N460:N465" si="10">15*1.95568</f>
        <v>29.3352</v>
      </c>
      <c r="O460" s="1">
        <f>Cotton_Buds[[#This Row],[Цена за 1 бр. в BGN]]*Cotton_Buds[[#This Row],[Поръчано Количество]]</f>
        <v>0</v>
      </c>
      <c r="P460" s="1"/>
      <c r="Q460" s="1"/>
      <c r="R460" s="1" t="str" cm="1">
        <f t="array" ref="R460">_xlfn.SWITCH(S460,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60" s="5" t="s">
        <v>1020</v>
      </c>
    </row>
    <row r="461" spans="1:19">
      <c r="A461" s="1" t="s">
        <v>1157</v>
      </c>
      <c r="B461" s="1">
        <v>50</v>
      </c>
      <c r="C461" s="1"/>
      <c r="D461" s="27">
        <v>46059</v>
      </c>
      <c r="E461" s="1" t="s">
        <v>619</v>
      </c>
      <c r="F461" s="33">
        <v>46052.476273148146</v>
      </c>
      <c r="G461" s="1" t="s">
        <v>22</v>
      </c>
      <c r="H461" s="1"/>
      <c r="I461" s="1"/>
      <c r="J461" s="27"/>
      <c r="K461" s="1"/>
      <c r="L461" s="27"/>
      <c r="M461" s="1"/>
      <c r="N461" s="1">
        <f t="shared" si="10"/>
        <v>29.3352</v>
      </c>
      <c r="O461" s="1">
        <f>Cotton_Buds[[#This Row],[Цена за 1 бр. в BGN]]*Cotton_Buds[[#This Row],[Поръчано Количество]]</f>
        <v>0</v>
      </c>
      <c r="P461" s="1"/>
      <c r="Q461" s="1"/>
      <c r="R461" s="1" t="str" cm="1">
        <f t="array" ref="R461">_xlfn.SWITCH(S461,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61" s="5" t="s">
        <v>1020</v>
      </c>
    </row>
    <row r="462" spans="1:19" ht="75">
      <c r="A462" s="1" t="s">
        <v>1158</v>
      </c>
      <c r="B462" s="1">
        <v>1</v>
      </c>
      <c r="C462" s="1"/>
      <c r="D462" s="27">
        <v>46080</v>
      </c>
      <c r="E462" s="1" t="s">
        <v>619</v>
      </c>
      <c r="F462" s="33">
        <v>46053.292615740742</v>
      </c>
      <c r="G462" s="1"/>
      <c r="H462" s="1"/>
      <c r="I462" s="1"/>
      <c r="J462" s="27"/>
      <c r="K462" s="1"/>
      <c r="L462" s="27"/>
      <c r="M462" s="1"/>
      <c r="N462" s="1">
        <f t="shared" si="10"/>
        <v>29.3352</v>
      </c>
      <c r="O462" s="1">
        <f>Cotton_Buds[[#This Row],[Цена за 1 бр. в BGN]]*Cotton_Buds[[#This Row],[Поръчано Количество]]</f>
        <v>0</v>
      </c>
      <c r="P462" s="1"/>
      <c r="Q462" s="1"/>
      <c r="R462" s="1" t="str" cm="1">
        <f t="array" ref="R462">_xlfn.SWITCH(S462,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62" s="5" t="s">
        <v>461</v>
      </c>
    </row>
    <row r="463" spans="1:19" ht="30">
      <c r="A463" s="1" t="s">
        <v>1159</v>
      </c>
      <c r="B463" s="1">
        <v>1</v>
      </c>
      <c r="C463" s="1">
        <v>1</v>
      </c>
      <c r="D463" s="27">
        <v>46056</v>
      </c>
      <c r="E463" s="1" t="s">
        <v>619</v>
      </c>
      <c r="F463" s="33">
        <v>46055.303148148145</v>
      </c>
      <c r="G463" s="1" t="s">
        <v>235</v>
      </c>
      <c r="H463" s="1" t="s">
        <v>1160</v>
      </c>
      <c r="I463" s="1" t="s">
        <v>84</v>
      </c>
      <c r="J463" s="27">
        <v>46059</v>
      </c>
      <c r="K463" s="1"/>
      <c r="L463" s="27"/>
      <c r="M463" s="1"/>
      <c r="N463" s="1">
        <f t="shared" si="10"/>
        <v>29.3352</v>
      </c>
      <c r="O463" s="1">
        <f>Cotton_Buds[[#This Row],[Цена за 1 бр. в BGN]]*Cotton_Buds[[#This Row],[Поръчано Количество]]</f>
        <v>29.3352</v>
      </c>
      <c r="P463" s="1"/>
      <c r="Q463" s="1"/>
      <c r="R463" s="1" t="str" cm="1">
        <f t="array" ref="R463">_xlfn.SWITCH(S463,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63" s="5" t="s">
        <v>461</v>
      </c>
    </row>
    <row r="464" spans="1:19" ht="30">
      <c r="A464" s="1" t="s">
        <v>1161</v>
      </c>
      <c r="B464" s="1">
        <v>1</v>
      </c>
      <c r="C464" s="1">
        <v>1</v>
      </c>
      <c r="D464" s="27">
        <v>46056</v>
      </c>
      <c r="E464" s="1" t="s">
        <v>619</v>
      </c>
      <c r="F464" s="33">
        <v>46055.304571759261</v>
      </c>
      <c r="G464" s="1" t="s">
        <v>235</v>
      </c>
      <c r="H464" s="1" t="s">
        <v>1160</v>
      </c>
      <c r="I464" s="1" t="s">
        <v>84</v>
      </c>
      <c r="J464" s="27">
        <v>46059</v>
      </c>
      <c r="K464" s="1"/>
      <c r="L464" s="27"/>
      <c r="M464" s="1"/>
      <c r="N464" s="1">
        <f t="shared" si="10"/>
        <v>29.3352</v>
      </c>
      <c r="O464" s="1">
        <f>Cotton_Buds[[#This Row],[Цена за 1 бр. в BGN]]*Cotton_Buds[[#This Row],[Поръчано Количество]]</f>
        <v>29.3352</v>
      </c>
      <c r="P464" s="1"/>
      <c r="Q464" s="1"/>
      <c r="R464" s="1" t="str" cm="1">
        <f t="array" ref="R464">_xlfn.SWITCH(S464,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64" s="5" t="s">
        <v>461</v>
      </c>
    </row>
    <row r="465" spans="1:19" ht="30">
      <c r="A465" s="1" t="s">
        <v>1162</v>
      </c>
      <c r="B465" s="1">
        <v>2</v>
      </c>
      <c r="C465" s="1">
        <v>2</v>
      </c>
      <c r="D465" s="27">
        <v>46063</v>
      </c>
      <c r="E465" s="1" t="s">
        <v>602</v>
      </c>
      <c r="F465" s="33">
        <v>46056.311377314814</v>
      </c>
      <c r="G465" s="1" t="s">
        <v>22</v>
      </c>
      <c r="H465" s="1" t="s">
        <v>1163</v>
      </c>
      <c r="I465" s="1" t="s">
        <v>382</v>
      </c>
      <c r="J465" s="27">
        <v>46059</v>
      </c>
      <c r="K465" s="1"/>
      <c r="L465" s="27"/>
      <c r="M465" s="1"/>
      <c r="N465" s="1">
        <f t="shared" si="10"/>
        <v>29.3352</v>
      </c>
      <c r="O465" s="1">
        <f>Cotton_Buds[[#This Row],[Цена за 1 бр. в BGN]]*Cotton_Buds[[#This Row],[Поръчано Количество]]</f>
        <v>58.670400000000001</v>
      </c>
      <c r="P465" s="1"/>
      <c r="Q465" s="1"/>
      <c r="R465" s="1" t="str" cm="1">
        <f t="array" ref="R465">_xlfn.SWITCH(S465,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65" s="5" t="s">
        <v>461</v>
      </c>
    </row>
    <row r="466" spans="1:19">
      <c r="A466" s="1" t="s">
        <v>1164</v>
      </c>
      <c r="B466" s="1">
        <v>2</v>
      </c>
      <c r="C466" s="1"/>
      <c r="D466" s="27">
        <v>46066</v>
      </c>
      <c r="E466" s="1" t="s">
        <v>619</v>
      </c>
      <c r="F466" s="33">
        <v>46057.473738425928</v>
      </c>
      <c r="G466" s="1"/>
      <c r="H466" s="1"/>
      <c r="I466" s="1"/>
      <c r="J466" s="27"/>
      <c r="K466" s="1"/>
      <c r="L466" s="27"/>
      <c r="M466" s="1"/>
      <c r="N466" s="1">
        <f t="shared" ref="N466:N473" si="11">15*1.95568</f>
        <v>29.3352</v>
      </c>
      <c r="O466" s="1">
        <f>Cotton_Buds[[#This Row],[Цена за 1 бр. в BGN]]*Cotton_Buds[[#This Row],[Поръчано Количество]]</f>
        <v>0</v>
      </c>
      <c r="P466" s="1"/>
      <c r="Q466" s="1"/>
      <c r="R466" s="1" t="str" cm="1">
        <f t="array" ref="R466">_xlfn.SWITCH(S466,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66" s="5" t="s">
        <v>1020</v>
      </c>
    </row>
    <row r="467" spans="1:19" ht="45">
      <c r="A467" s="1" t="s">
        <v>1165</v>
      </c>
      <c r="B467" s="1">
        <v>2</v>
      </c>
      <c r="C467" s="1"/>
      <c r="D467" s="27">
        <v>46073</v>
      </c>
      <c r="E467" s="1" t="s">
        <v>595</v>
      </c>
      <c r="F467" s="33">
        <v>46058.427164351851</v>
      </c>
      <c r="G467" s="1" t="s">
        <v>42</v>
      </c>
      <c r="H467" s="1" t="s">
        <v>1166</v>
      </c>
      <c r="I467" s="1" t="s">
        <v>1167</v>
      </c>
      <c r="J467" s="27"/>
      <c r="K467" s="1"/>
      <c r="L467" s="27"/>
      <c r="M467" s="1"/>
      <c r="N467" s="1">
        <f t="shared" si="11"/>
        <v>29.3352</v>
      </c>
      <c r="O467" s="1">
        <f>Cotton_Buds[[#This Row],[Цена за 1 бр. в BGN]]*Cotton_Buds[[#This Row],[Поръчано Количество]]</f>
        <v>0</v>
      </c>
      <c r="P467" s="1"/>
      <c r="Q467" s="1"/>
      <c r="R467" s="1" t="str" cm="1">
        <f t="array" ref="R467">_xlfn.SWITCH(S467,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67" s="5" t="s">
        <v>461</v>
      </c>
    </row>
    <row r="468" spans="1:19" ht="45">
      <c r="A468" s="1" t="s">
        <v>1168</v>
      </c>
      <c r="B468" s="1">
        <v>1</v>
      </c>
      <c r="C468" s="1"/>
      <c r="D468" s="27">
        <v>46063</v>
      </c>
      <c r="E468" s="1" t="s">
        <v>602</v>
      </c>
      <c r="F468" s="33">
        <v>46058.488252314812</v>
      </c>
      <c r="G468" s="1"/>
      <c r="H468" s="1"/>
      <c r="I468" s="1" t="s">
        <v>120</v>
      </c>
      <c r="J468" s="27"/>
      <c r="K468" s="1"/>
      <c r="L468" s="27"/>
      <c r="M468" s="1"/>
      <c r="N468" s="1">
        <f t="shared" si="11"/>
        <v>29.3352</v>
      </c>
      <c r="O468" s="1">
        <f>Cotton_Buds[[#This Row],[Цена за 1 бр. в BGN]]*Cotton_Buds[[#This Row],[Поръчано Количество]]</f>
        <v>0</v>
      </c>
      <c r="P468" s="1"/>
      <c r="Q468" s="1"/>
      <c r="R468" s="1" t="str" cm="1">
        <f t="array" ref="R468">_xlfn.SWITCH(S468,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468" s="5" t="s">
        <v>1040</v>
      </c>
    </row>
    <row r="469" spans="1:19" ht="30">
      <c r="A469" s="1" t="s">
        <v>1169</v>
      </c>
      <c r="B469" s="1">
        <v>3</v>
      </c>
      <c r="C469" s="1"/>
      <c r="D469" s="27">
        <v>46063</v>
      </c>
      <c r="E469" s="1" t="s">
        <v>602</v>
      </c>
      <c r="F469" s="33">
        <v>46060.294895833336</v>
      </c>
      <c r="G469" s="1" t="s">
        <v>22</v>
      </c>
      <c r="H469" s="1"/>
      <c r="I469" s="1"/>
      <c r="J469" s="27"/>
      <c r="K469" s="1"/>
      <c r="L469" s="27"/>
      <c r="M469" s="1"/>
      <c r="N469" s="1">
        <f t="shared" si="11"/>
        <v>29.3352</v>
      </c>
      <c r="O469" s="1">
        <f>Cotton_Buds[[#This Row],[Цена за 1 бр. в BGN]]*Cotton_Buds[[#This Row],[Поръчано Количество]]</f>
        <v>0</v>
      </c>
      <c r="P469" s="1"/>
      <c r="Q469" s="1"/>
      <c r="R469" s="1" t="str" cm="1">
        <f t="array" ref="R469">_xlfn.SWITCH(S469,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69" s="5" t="s">
        <v>461</v>
      </c>
    </row>
    <row r="470" spans="1:19" ht="45">
      <c r="A470" s="1" t="s">
        <v>1170</v>
      </c>
      <c r="B470" s="1">
        <v>2</v>
      </c>
      <c r="C470" s="1"/>
      <c r="D470" s="27">
        <v>46063</v>
      </c>
      <c r="E470" s="1" t="s">
        <v>619</v>
      </c>
      <c r="F470" s="33">
        <v>46062.268807870372</v>
      </c>
      <c r="G470" s="1"/>
      <c r="H470" s="1"/>
      <c r="I470" s="1" t="s">
        <v>48</v>
      </c>
      <c r="J470" s="27"/>
      <c r="K470" s="1"/>
      <c r="L470" s="27"/>
      <c r="M470" s="1"/>
      <c r="N470" s="1">
        <f t="shared" si="11"/>
        <v>29.3352</v>
      </c>
      <c r="O470" s="1">
        <f>Cotton_Buds[[#This Row],[Цена за 1 бр. в BGN]]*Cotton_Buds[[#This Row],[Поръчано Количество]]</f>
        <v>0</v>
      </c>
      <c r="P470" s="1"/>
      <c r="Q470" s="1"/>
      <c r="R470" s="1" t="str" cm="1">
        <f t="array" ref="R470">_xlfn.SWITCH(S470,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70" s="5" t="s">
        <v>461</v>
      </c>
    </row>
    <row r="471" spans="1:19">
      <c r="A471" s="1" t="s">
        <v>1171</v>
      </c>
      <c r="B471" s="1">
        <v>10</v>
      </c>
      <c r="C471" s="1"/>
      <c r="D471" s="27">
        <v>46066</v>
      </c>
      <c r="E471" s="1" t="s">
        <v>619</v>
      </c>
      <c r="F471" s="33">
        <v>46062.408310185187</v>
      </c>
      <c r="G471" s="1" t="s">
        <v>22</v>
      </c>
      <c r="H471" s="1"/>
      <c r="I471" s="1"/>
      <c r="J471" s="27"/>
      <c r="K471" s="1"/>
      <c r="L471" s="27"/>
      <c r="M471" s="1"/>
      <c r="N471" s="1">
        <f t="shared" si="11"/>
        <v>29.3352</v>
      </c>
      <c r="O471" s="1">
        <f>Cotton_Buds[[#This Row],[Цена за 1 бр. в BGN]]*Cotton_Buds[[#This Row],[Поръчано Количество]]</f>
        <v>0</v>
      </c>
      <c r="P471" s="1"/>
      <c r="Q471" s="1"/>
      <c r="R471" s="1" t="str" cm="1">
        <f t="array" ref="R471">_xlfn.SWITCH(S471,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71" s="5" t="s">
        <v>1020</v>
      </c>
    </row>
    <row r="472" spans="1:19">
      <c r="A472" s="1" t="s">
        <v>1172</v>
      </c>
      <c r="B472" s="1">
        <v>2</v>
      </c>
      <c r="C472" s="1"/>
      <c r="D472" s="27">
        <v>46066</v>
      </c>
      <c r="E472" s="1" t="s">
        <v>619</v>
      </c>
      <c r="F472" s="33">
        <v>46062.409375000003</v>
      </c>
      <c r="G472" s="1"/>
      <c r="H472" s="1"/>
      <c r="I472" s="1" t="s">
        <v>58</v>
      </c>
      <c r="J472" s="27"/>
      <c r="K472" s="1"/>
      <c r="L472" s="27"/>
      <c r="M472" s="1"/>
      <c r="N472" s="1">
        <f t="shared" si="11"/>
        <v>29.3352</v>
      </c>
      <c r="O472" s="1">
        <f>Cotton_Buds[[#This Row],[Цена за 1 бр. в BGN]]*Cotton_Buds[[#This Row],[Поръчано Количество]]</f>
        <v>0</v>
      </c>
      <c r="P472" s="1"/>
      <c r="Q472" s="1"/>
      <c r="R472" s="1" t="str" cm="1">
        <f t="array" ref="R472">_xlfn.SWITCH(S472,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72" s="5" t="s">
        <v>1020</v>
      </c>
    </row>
    <row r="473" spans="1:19">
      <c r="A473" s="1" t="s">
        <v>1173</v>
      </c>
      <c r="B473" s="1">
        <v>2</v>
      </c>
      <c r="C473" s="1"/>
      <c r="D473" s="27">
        <v>46066</v>
      </c>
      <c r="E473" s="1" t="s">
        <v>619</v>
      </c>
      <c r="F473" s="33">
        <v>46062.409988425927</v>
      </c>
      <c r="G473" s="1"/>
      <c r="H473" s="1"/>
      <c r="I473" s="1" t="s">
        <v>58</v>
      </c>
      <c r="J473" s="27"/>
      <c r="K473" s="1"/>
      <c r="L473" s="27"/>
      <c r="M473" s="1"/>
      <c r="N473" s="1">
        <f t="shared" si="11"/>
        <v>29.3352</v>
      </c>
      <c r="O473" s="1">
        <f>Cotton_Buds[[#This Row],[Цена за 1 бр. в BGN]]*Cotton_Buds[[#This Row],[Поръчано Количество]]</f>
        <v>0</v>
      </c>
      <c r="P473" s="1"/>
      <c r="Q473" s="1"/>
      <c r="R473" s="1" t="str" cm="1">
        <f t="array" ref="R473">_xlfn.SWITCH(S473,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73" s="5" t="s">
        <v>1020</v>
      </c>
    </row>
    <row r="474" spans="1:19" ht="30">
      <c r="A474" s="1" t="s">
        <v>1174</v>
      </c>
      <c r="B474" s="1">
        <v>4</v>
      </c>
      <c r="C474" s="1"/>
      <c r="D474" s="27">
        <v>46065</v>
      </c>
      <c r="E474" s="1" t="s">
        <v>602</v>
      </c>
      <c r="F474" s="33">
        <v>46065.272060185183</v>
      </c>
      <c r="G474" s="1" t="s">
        <v>22</v>
      </c>
      <c r="H474" s="1"/>
      <c r="I474" s="1"/>
      <c r="J474" s="27"/>
      <c r="K474" s="1"/>
      <c r="L474" s="27"/>
      <c r="M474" s="1"/>
      <c r="N474" s="1">
        <f t="shared" ref="N474:N479" si="12">15*1.95568</f>
        <v>29.3352</v>
      </c>
      <c r="O474" s="1">
        <f>Cotton_Buds[[#This Row],[Цена за 1 бр. в BGN]]*Cotton_Buds[[#This Row],[Поръчано Количество]]</f>
        <v>0</v>
      </c>
      <c r="P474" s="1"/>
      <c r="Q474" s="1"/>
      <c r="R474" s="1" t="str" cm="1">
        <f t="array" ref="R474">_xlfn.SWITCH(S474,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474" s="5" t="s">
        <v>1040</v>
      </c>
    </row>
    <row r="475" spans="1:19" ht="30">
      <c r="A475" s="1" t="s">
        <v>1175</v>
      </c>
      <c r="B475" s="1">
        <v>2</v>
      </c>
      <c r="C475" s="1"/>
      <c r="D475" s="27">
        <v>46065</v>
      </c>
      <c r="E475" s="1" t="s">
        <v>602</v>
      </c>
      <c r="F475" s="33">
        <v>46065.272604166668</v>
      </c>
      <c r="G475" s="1" t="s">
        <v>22</v>
      </c>
      <c r="H475" s="1"/>
      <c r="I475" s="1"/>
      <c r="J475" s="27"/>
      <c r="K475" s="1"/>
      <c r="L475" s="27"/>
      <c r="M475" s="1"/>
      <c r="N475" s="1">
        <f t="shared" si="12"/>
        <v>29.3352</v>
      </c>
      <c r="O475" s="1">
        <f>Cotton_Buds[[#This Row],[Цена за 1 бр. в BGN]]*Cotton_Buds[[#This Row],[Поръчано Количество]]</f>
        <v>0</v>
      </c>
      <c r="P475" s="1"/>
      <c r="Q475" s="1"/>
      <c r="R475" s="1" t="str" cm="1">
        <f t="array" ref="R475">_xlfn.SWITCH(S475,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475" s="5" t="s">
        <v>1040</v>
      </c>
    </row>
    <row r="476" spans="1:19" ht="30">
      <c r="A476" s="1" t="s">
        <v>1176</v>
      </c>
      <c r="B476" s="1">
        <v>2</v>
      </c>
      <c r="C476" s="1"/>
      <c r="D476" s="27">
        <v>46065</v>
      </c>
      <c r="E476" s="1" t="s">
        <v>602</v>
      </c>
      <c r="F476" s="33">
        <v>46065.273425925923</v>
      </c>
      <c r="G476" s="1" t="s">
        <v>22</v>
      </c>
      <c r="H476" s="1"/>
      <c r="I476" s="1"/>
      <c r="J476" s="27"/>
      <c r="K476" s="1"/>
      <c r="L476" s="27"/>
      <c r="M476" s="1"/>
      <c r="N476" s="1">
        <f t="shared" si="12"/>
        <v>29.3352</v>
      </c>
      <c r="O476" s="1">
        <f>Cotton_Buds[[#This Row],[Цена за 1 бр. в BGN]]*Cotton_Buds[[#This Row],[Поръчано Количество]]</f>
        <v>0</v>
      </c>
      <c r="P476" s="1"/>
      <c r="Q476" s="1"/>
      <c r="R476" s="1" t="str" cm="1">
        <f t="array" ref="R476">_xlfn.SWITCH(S476,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476" s="5" t="s">
        <v>1040</v>
      </c>
    </row>
    <row r="477" spans="1:19" ht="30">
      <c r="A477" s="1" t="s">
        <v>1177</v>
      </c>
      <c r="B477" s="1">
        <v>4</v>
      </c>
      <c r="C477" s="1"/>
      <c r="D477" s="27">
        <v>46065</v>
      </c>
      <c r="E477" s="1" t="s">
        <v>602</v>
      </c>
      <c r="F477" s="33">
        <v>46065.274004629631</v>
      </c>
      <c r="G477" s="1" t="s">
        <v>22</v>
      </c>
      <c r="H477" s="1"/>
      <c r="I477" s="1"/>
      <c r="J477" s="27"/>
      <c r="K477" s="1"/>
      <c r="L477" s="27"/>
      <c r="M477" s="1"/>
      <c r="N477" s="1">
        <f t="shared" si="12"/>
        <v>29.3352</v>
      </c>
      <c r="O477" s="1">
        <f>Cotton_Buds[[#This Row],[Цена за 1 бр. в BGN]]*Cotton_Buds[[#This Row],[Поръчано Количество]]</f>
        <v>0</v>
      </c>
      <c r="P477" s="1"/>
      <c r="Q477" s="1"/>
      <c r="R477" s="1" t="str" cm="1">
        <f t="array" ref="R477">_xlfn.SWITCH(S477,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477" s="5" t="s">
        <v>1040</v>
      </c>
    </row>
    <row r="478" spans="1:19" ht="30">
      <c r="A478" s="1" t="s">
        <v>1178</v>
      </c>
      <c r="B478" s="1">
        <v>10</v>
      </c>
      <c r="C478" s="1"/>
      <c r="D478" s="27">
        <v>46073</v>
      </c>
      <c r="E478" s="1" t="s">
        <v>595</v>
      </c>
      <c r="F478" s="33">
        <v>46066.226782407408</v>
      </c>
      <c r="G478" s="1"/>
      <c r="H478" s="1"/>
      <c r="I478" s="1" t="s">
        <v>24</v>
      </c>
      <c r="J478" s="27"/>
      <c r="K478" s="1"/>
      <c r="L478" s="27"/>
      <c r="M478" s="1"/>
      <c r="N478" s="1">
        <f t="shared" si="12"/>
        <v>29.3352</v>
      </c>
      <c r="O478" s="1">
        <f>Cotton_Buds[[#This Row],[Цена за 1 бр. в BGN]]*Cotton_Buds[[#This Row],[Поръчано Количество]]</f>
        <v>0</v>
      </c>
      <c r="P478" s="1"/>
      <c r="Q478" s="1"/>
      <c r="R478" s="1" t="str" cm="1">
        <f t="array" ref="R478">_xlfn.SWITCH(S478,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78" s="5" t="s">
        <v>1020</v>
      </c>
    </row>
    <row r="479" spans="1:19" ht="30">
      <c r="A479" s="1" t="s">
        <v>1179</v>
      </c>
      <c r="B479" s="1">
        <v>4</v>
      </c>
      <c r="C479" s="1"/>
      <c r="D479" s="27">
        <v>46073</v>
      </c>
      <c r="E479" s="1" t="s">
        <v>595</v>
      </c>
      <c r="F479" s="33">
        <v>46066.22792824074</v>
      </c>
      <c r="G479" s="1"/>
      <c r="H479" s="1"/>
      <c r="I479" s="1" t="s">
        <v>73</v>
      </c>
      <c r="J479" s="27"/>
      <c r="K479" s="1"/>
      <c r="L479" s="27"/>
      <c r="M479" s="1"/>
      <c r="N479" s="1">
        <f t="shared" si="12"/>
        <v>29.3352</v>
      </c>
      <c r="O479" s="1">
        <f>Cotton_Buds[[#This Row],[Цена за 1 бр. в BGN]]*Cotton_Buds[[#This Row],[Поръчано Количество]]</f>
        <v>0</v>
      </c>
      <c r="P479" s="1"/>
      <c r="Q479" s="1"/>
      <c r="R479" s="1" t="str" cm="1">
        <f t="array" ref="R479">_xlfn.SWITCH(S479,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Andrean Angelov</v>
      </c>
      <c r="S479" s="5" t="s">
        <v>1020</v>
      </c>
    </row>
    <row r="480" spans="1:19">
      <c r="A480" s="1"/>
      <c r="B480" s="1"/>
      <c r="C480" s="1"/>
      <c r="D480" s="27"/>
      <c r="E480" s="1"/>
      <c r="F480" s="33"/>
      <c r="G480" s="1"/>
      <c r="H480" s="1"/>
      <c r="I480" s="1"/>
      <c r="J480" s="27"/>
      <c r="K480" s="1"/>
      <c r="L480" s="27"/>
      <c r="M480" s="1"/>
      <c r="N480" s="1">
        <f>15*1.95568</f>
        <v>29.3352</v>
      </c>
      <c r="O480" s="1">
        <f>Cotton_Buds[[#This Row],[Цена за 1 бр. в BGN]]*Cotton_Buds[[#This Row],[Поръчано Количество]]</f>
        <v>0</v>
      </c>
      <c r="P480" s="1"/>
      <c r="Q480" s="1"/>
      <c r="R480" s="1" t="str" cm="1">
        <f t="array" ref="R480">_xlfn.SWITCH(S480,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80" s="1"/>
    </row>
    <row r="481" spans="4:12">
      <c r="D481" s="28"/>
      <c r="F481" s="30"/>
      <c r="J481" s="28"/>
      <c r="L481" s="28"/>
    </row>
    <row r="482" spans="4:12">
      <c r="D482" s="28"/>
      <c r="F482" s="30"/>
      <c r="J482" s="28"/>
      <c r="L482" s="28"/>
    </row>
    <row r="483" spans="4:12">
      <c r="D483" s="28"/>
      <c r="F483" s="30"/>
      <c r="J483" s="28"/>
      <c r="L483" s="28"/>
    </row>
    <row r="484" spans="4:12">
      <c r="D484" s="28"/>
      <c r="F484" s="30"/>
      <c r="J484" s="28"/>
      <c r="L484" s="28"/>
    </row>
    <row r="485" spans="4:12">
      <c r="D485" s="28"/>
      <c r="F485" s="30"/>
      <c r="J485" s="28"/>
      <c r="L485" s="28"/>
    </row>
    <row r="486" spans="4:12">
      <c r="D486" s="28"/>
      <c r="F486" s="30"/>
      <c r="J486" s="28"/>
      <c r="L486" s="28"/>
    </row>
    <row r="487" spans="4:12">
      <c r="D487" s="28"/>
      <c r="F487" s="30"/>
      <c r="J487" s="28"/>
      <c r="L487" s="28"/>
    </row>
    <row r="488" spans="4:12">
      <c r="D488" s="28"/>
      <c r="F488" s="30"/>
      <c r="J488" s="28"/>
      <c r="L488" s="28"/>
    </row>
    <row r="489" spans="4:12">
      <c r="D489" s="28"/>
      <c r="F489" s="30"/>
      <c r="J489" s="28"/>
      <c r="L489" s="28"/>
    </row>
    <row r="490" spans="4:12">
      <c r="D490" s="28"/>
      <c r="F490" s="30"/>
      <c r="J490" s="28"/>
      <c r="L490" s="28"/>
    </row>
    <row r="491" spans="4:12">
      <c r="D491" s="28"/>
      <c r="F491" s="30"/>
      <c r="J491" s="28"/>
      <c r="L491" s="28"/>
    </row>
    <row r="492" spans="4:12">
      <c r="D492" s="28"/>
      <c r="F492" s="30"/>
      <c r="J492" s="28"/>
      <c r="L492" s="28"/>
    </row>
    <row r="493" spans="4:12">
      <c r="D493" s="28"/>
      <c r="F493" s="30"/>
      <c r="J493" s="28"/>
      <c r="L493" s="28"/>
    </row>
    <row r="494" spans="4:12">
      <c r="D494" s="28"/>
      <c r="F494" s="30"/>
      <c r="J494" s="28"/>
      <c r="L494" s="28"/>
    </row>
    <row r="495" spans="4:12">
      <c r="D495" s="28"/>
      <c r="F495" s="30"/>
      <c r="J495" s="28"/>
      <c r="L495" s="28"/>
    </row>
    <row r="496" spans="4:12">
      <c r="D496" s="28"/>
      <c r="F496" s="30"/>
      <c r="J496" s="28"/>
      <c r="L496" s="28"/>
    </row>
    <row r="497" spans="4:12">
      <c r="D497" s="28"/>
      <c r="F497" s="30"/>
      <c r="J497" s="28"/>
      <c r="L497" s="28"/>
    </row>
    <row r="498" spans="4:12">
      <c r="D498" s="28"/>
      <c r="F498" s="30"/>
      <c r="J498" s="28"/>
      <c r="L498" s="28"/>
    </row>
    <row r="499" spans="4:12">
      <c r="D499" s="28"/>
      <c r="F499" s="30"/>
      <c r="J499" s="28"/>
      <c r="L499" s="28"/>
    </row>
    <row r="500" spans="4:12">
      <c r="D500" s="28"/>
      <c r="F500" s="30"/>
      <c r="J500" s="28"/>
      <c r="L500" s="28"/>
    </row>
    <row r="501" spans="4:12">
      <c r="D501" s="28"/>
      <c r="F501" s="30"/>
      <c r="J501" s="28"/>
      <c r="L501" s="28"/>
    </row>
    <row r="502" spans="4:12">
      <c r="D502" s="28"/>
      <c r="F502" s="30"/>
      <c r="J502" s="28"/>
      <c r="L502" s="28"/>
    </row>
    <row r="503" spans="4:12">
      <c r="D503" s="28"/>
      <c r="F503" s="30"/>
      <c r="J503" s="28"/>
      <c r="L503" s="28"/>
    </row>
    <row r="504" spans="4:12">
      <c r="D504" s="28"/>
      <c r="F504" s="30"/>
      <c r="J504" s="28"/>
      <c r="L504" s="28"/>
    </row>
    <row r="505" spans="4:12">
      <c r="D505" s="28"/>
      <c r="F505" s="30"/>
      <c r="J505" s="28"/>
      <c r="L505" s="28"/>
    </row>
    <row r="506" spans="4:12">
      <c r="D506" s="28"/>
      <c r="F506" s="30"/>
      <c r="J506" s="28"/>
      <c r="L506" s="28"/>
    </row>
    <row r="507" spans="4:12">
      <c r="D507" s="28"/>
      <c r="F507" s="30"/>
      <c r="J507" s="28"/>
      <c r="L507" s="28"/>
    </row>
    <row r="508" spans="4:12">
      <c r="D508" s="28"/>
      <c r="F508" s="30"/>
      <c r="J508" s="28"/>
      <c r="L508" s="28"/>
    </row>
    <row r="509" spans="4:12">
      <c r="D509" s="28"/>
      <c r="F509" s="30"/>
      <c r="J509" s="28"/>
      <c r="L509" s="28"/>
    </row>
    <row r="510" spans="4:12">
      <c r="D510" s="28"/>
      <c r="F510" s="30"/>
      <c r="J510" s="28"/>
      <c r="L510" s="28"/>
    </row>
    <row r="511" spans="4:12">
      <c r="D511" s="28"/>
      <c r="F511" s="30"/>
      <c r="J511" s="28"/>
      <c r="L511" s="28"/>
    </row>
    <row r="512" spans="4:12">
      <c r="D512" s="28"/>
      <c r="F512" s="30"/>
      <c r="J512" s="28"/>
      <c r="L512" s="28"/>
    </row>
    <row r="513" spans="4:12">
      <c r="D513" s="28"/>
      <c r="F513" s="30"/>
      <c r="J513" s="28"/>
      <c r="L513" s="28"/>
    </row>
    <row r="514" spans="4:12">
      <c r="D514" s="28"/>
      <c r="F514" s="30"/>
      <c r="J514" s="28"/>
      <c r="L514" s="28"/>
    </row>
    <row r="515" spans="4:12">
      <c r="D515" s="28"/>
      <c r="F515" s="30"/>
      <c r="J515" s="28"/>
      <c r="L515" s="28"/>
    </row>
    <row r="516" spans="4:12">
      <c r="D516" s="28"/>
      <c r="F516" s="30"/>
      <c r="J516" s="28"/>
      <c r="L516" s="28"/>
    </row>
    <row r="517" spans="4:12">
      <c r="D517" s="28"/>
      <c r="F517" s="30"/>
      <c r="J517" s="28"/>
      <c r="L517" s="28"/>
    </row>
    <row r="518" spans="4:12">
      <c r="D518" s="28"/>
      <c r="F518" s="30"/>
      <c r="J518" s="28"/>
      <c r="L518" s="28"/>
    </row>
    <row r="519" spans="4:12">
      <c r="D519" s="28"/>
      <c r="F519" s="30"/>
      <c r="J519" s="28"/>
      <c r="L519" s="28"/>
    </row>
    <row r="520" spans="4:12">
      <c r="D520" s="28"/>
      <c r="F520" s="30"/>
      <c r="J520" s="28"/>
      <c r="L520" s="28"/>
    </row>
    <row r="521" spans="4:12">
      <c r="D521" s="28"/>
      <c r="F521" s="30"/>
      <c r="J521" s="28"/>
      <c r="L521" s="28"/>
    </row>
    <row r="522" spans="4:12">
      <c r="D522" s="28"/>
      <c r="F522" s="30"/>
      <c r="J522" s="28"/>
      <c r="L522" s="28"/>
    </row>
    <row r="523" spans="4:12">
      <c r="D523" s="28"/>
      <c r="F523" s="30"/>
      <c r="J523" s="28"/>
      <c r="L523" s="28"/>
    </row>
    <row r="524" spans="4:12">
      <c r="D524" s="28"/>
      <c r="F524" s="30"/>
      <c r="J524" s="28"/>
      <c r="L524" s="28"/>
    </row>
    <row r="525" spans="4:12">
      <c r="D525" s="28"/>
      <c r="F525" s="30"/>
      <c r="J525" s="28"/>
      <c r="L525" s="28"/>
    </row>
    <row r="526" spans="4:12">
      <c r="D526" s="28"/>
      <c r="F526" s="30"/>
      <c r="J526" s="28"/>
      <c r="L526" s="28"/>
    </row>
    <row r="527" spans="4:12">
      <c r="D527" s="28"/>
      <c r="F527" s="30"/>
      <c r="J527" s="28"/>
      <c r="L527" s="28"/>
    </row>
    <row r="528" spans="4:12">
      <c r="D528" s="28"/>
      <c r="F528" s="30"/>
      <c r="J528" s="28"/>
      <c r="L528" s="28"/>
    </row>
    <row r="529" spans="4:12">
      <c r="D529" s="28"/>
      <c r="F529" s="30"/>
      <c r="J529" s="28"/>
      <c r="L529" s="28"/>
    </row>
    <row r="530" spans="4:12">
      <c r="D530" s="28"/>
      <c r="F530" s="30"/>
      <c r="J530" s="28"/>
      <c r="L530" s="28"/>
    </row>
    <row r="531" spans="4:12">
      <c r="D531" s="28"/>
      <c r="F531" s="30"/>
      <c r="J531" s="28"/>
      <c r="L531" s="28"/>
    </row>
    <row r="532" spans="4:12">
      <c r="D532" s="28"/>
      <c r="F532" s="30"/>
      <c r="J532" s="28"/>
      <c r="L532" s="28"/>
    </row>
    <row r="533" spans="4:12">
      <c r="D533" s="28"/>
      <c r="F533" s="30"/>
      <c r="J533" s="28"/>
      <c r="L533" s="28"/>
    </row>
    <row r="534" spans="4:12">
      <c r="D534" s="28"/>
      <c r="F534" s="30"/>
      <c r="J534" s="28"/>
      <c r="L534" s="28"/>
    </row>
    <row r="535" spans="4:12">
      <c r="D535" s="28"/>
      <c r="F535" s="30"/>
      <c r="J535" s="28"/>
      <c r="L535" s="28"/>
    </row>
    <row r="536" spans="4:12">
      <c r="D536" s="28"/>
      <c r="F536" s="30"/>
      <c r="J536" s="28"/>
      <c r="L536" s="28"/>
    </row>
    <row r="537" spans="4:12">
      <c r="D537" s="28"/>
      <c r="F537" s="30"/>
      <c r="J537" s="28"/>
      <c r="L537" s="28"/>
    </row>
    <row r="538" spans="4:12">
      <c r="D538" s="28"/>
      <c r="F538" s="30"/>
      <c r="J538" s="28"/>
      <c r="L538" s="28"/>
    </row>
    <row r="539" spans="4:12">
      <c r="D539" s="28"/>
      <c r="F539" s="30"/>
      <c r="J539" s="28"/>
      <c r="L539" s="28"/>
    </row>
    <row r="540" spans="4:12">
      <c r="D540" s="28"/>
      <c r="F540" s="30"/>
      <c r="J540" s="28"/>
      <c r="L540" s="28"/>
    </row>
    <row r="541" spans="4:12">
      <c r="D541" s="28"/>
      <c r="F541" s="30"/>
      <c r="J541" s="28"/>
      <c r="L541" s="28"/>
    </row>
    <row r="542" spans="4:12">
      <c r="D542" s="28"/>
      <c r="F542" s="30"/>
      <c r="J542" s="28"/>
      <c r="L542" s="28"/>
    </row>
    <row r="543" spans="4:12">
      <c r="D543" s="28"/>
      <c r="F543" s="30"/>
      <c r="J543" s="28"/>
      <c r="L543" s="28"/>
    </row>
    <row r="544" spans="4:12">
      <c r="D544" s="28"/>
      <c r="F544" s="30"/>
      <c r="J544" s="28"/>
      <c r="L544" s="28"/>
    </row>
    <row r="545" spans="4:12">
      <c r="D545" s="28"/>
      <c r="F545" s="30"/>
      <c r="J545" s="28"/>
      <c r="L545" s="28"/>
    </row>
    <row r="546" spans="4:12">
      <c r="D546" s="28"/>
      <c r="F546" s="30"/>
      <c r="J546" s="28"/>
      <c r="L546" s="28"/>
    </row>
    <row r="547" spans="4:12">
      <c r="D547" s="28"/>
      <c r="F547" s="30"/>
      <c r="J547" s="28"/>
      <c r="L547" s="28"/>
    </row>
    <row r="548" spans="4:12">
      <c r="D548" s="28"/>
      <c r="F548" s="30"/>
      <c r="J548" s="28"/>
      <c r="L548" s="28"/>
    </row>
    <row r="549" spans="4:12">
      <c r="D549" s="28"/>
      <c r="F549" s="30"/>
      <c r="J549" s="28"/>
      <c r="L549" s="28"/>
    </row>
    <row r="550" spans="4:12">
      <c r="D550" s="28"/>
      <c r="F550" s="30"/>
      <c r="J550" s="28"/>
      <c r="L550" s="28"/>
    </row>
    <row r="551" spans="4:12">
      <c r="D551" s="28"/>
      <c r="F551" s="30"/>
      <c r="J551" s="28"/>
      <c r="L551" s="28"/>
    </row>
    <row r="552" spans="4:12">
      <c r="D552" s="28"/>
      <c r="F552" s="30"/>
      <c r="J552" s="28"/>
      <c r="L552" s="28"/>
    </row>
    <row r="553" spans="4:12">
      <c r="D553" s="28"/>
      <c r="F553" s="30"/>
      <c r="J553" s="28"/>
      <c r="L553" s="28"/>
    </row>
    <row r="554" spans="4:12">
      <c r="D554" s="28"/>
      <c r="F554" s="30"/>
      <c r="J554" s="28"/>
      <c r="L554" s="28"/>
    </row>
    <row r="555" spans="4:12">
      <c r="D555" s="28"/>
      <c r="F555" s="30"/>
      <c r="J555" s="28"/>
      <c r="L555" s="28"/>
    </row>
    <row r="556" spans="4:12">
      <c r="D556" s="28"/>
      <c r="F556" s="30"/>
      <c r="J556" s="28"/>
      <c r="L556" s="28"/>
    </row>
    <row r="557" spans="4:12">
      <c r="D557" s="28"/>
      <c r="F557" s="30"/>
      <c r="J557" s="28"/>
      <c r="L557" s="28"/>
    </row>
    <row r="558" spans="4:12">
      <c r="D558" s="28"/>
      <c r="F558" s="30"/>
      <c r="J558" s="28"/>
      <c r="L558" s="28"/>
    </row>
    <row r="559" spans="4:12">
      <c r="D559" s="28"/>
      <c r="F559" s="30"/>
      <c r="J559" s="28"/>
      <c r="L559" s="28"/>
    </row>
    <row r="560" spans="4:12">
      <c r="D560" s="28"/>
      <c r="F560" s="30"/>
      <c r="J560" s="28"/>
      <c r="L560" s="28"/>
    </row>
    <row r="561" spans="4:12">
      <c r="D561" s="28"/>
      <c r="F561" s="30"/>
      <c r="J561" s="28"/>
      <c r="L561" s="28"/>
    </row>
    <row r="562" spans="4:12">
      <c r="D562" s="28"/>
      <c r="F562" s="30"/>
      <c r="J562" s="28"/>
      <c r="L562" s="28"/>
    </row>
    <row r="563" spans="4:12">
      <c r="D563" s="28"/>
      <c r="F563" s="30"/>
      <c r="J563" s="28"/>
      <c r="L563" s="28"/>
    </row>
    <row r="564" spans="4:12">
      <c r="D564" s="28"/>
      <c r="F564" s="30"/>
      <c r="J564" s="28"/>
      <c r="L564" s="28"/>
    </row>
    <row r="565" spans="4:12">
      <c r="D565" s="28"/>
      <c r="F565" s="30"/>
      <c r="J565" s="28"/>
      <c r="L565" s="28"/>
    </row>
    <row r="566" spans="4:12">
      <c r="D566" s="28"/>
      <c r="F566" s="30"/>
      <c r="J566" s="28"/>
      <c r="L566" s="28"/>
    </row>
    <row r="567" spans="4:12">
      <c r="D567" s="28"/>
      <c r="F567" s="30"/>
      <c r="J567" s="28"/>
      <c r="L567" s="28"/>
    </row>
    <row r="568" spans="4:12">
      <c r="D568" s="28"/>
      <c r="F568" s="30"/>
      <c r="J568" s="28"/>
      <c r="L568" s="28"/>
    </row>
    <row r="569" spans="4:12">
      <c r="D569" s="28"/>
      <c r="F569" s="30"/>
      <c r="J569" s="28"/>
      <c r="L569" s="28"/>
    </row>
    <row r="570" spans="4:12">
      <c r="D570" s="28"/>
      <c r="F570" s="30"/>
      <c r="J570" s="28"/>
      <c r="L570" s="28"/>
    </row>
    <row r="571" spans="4:12">
      <c r="D571" s="28"/>
      <c r="F571" s="30"/>
      <c r="J571" s="28"/>
      <c r="L571" s="28"/>
    </row>
    <row r="572" spans="4:12">
      <c r="D572" s="28"/>
      <c r="F572" s="30"/>
      <c r="J572" s="28"/>
      <c r="L572" s="28"/>
    </row>
    <row r="573" spans="4:12">
      <c r="D573" s="28"/>
      <c r="F573" s="30"/>
      <c r="J573" s="28"/>
      <c r="L573" s="28"/>
    </row>
    <row r="574" spans="4:12">
      <c r="D574" s="28"/>
      <c r="F574" s="30"/>
      <c r="J574" s="28"/>
      <c r="L574" s="28"/>
    </row>
    <row r="575" spans="4:12">
      <c r="D575" s="28"/>
      <c r="F575" s="30"/>
      <c r="J575" s="28"/>
      <c r="L575" s="28"/>
    </row>
    <row r="576" spans="4:12">
      <c r="D576" s="28"/>
      <c r="F576" s="30"/>
      <c r="J576" s="28"/>
      <c r="L576" s="28"/>
    </row>
    <row r="577" spans="4:12">
      <c r="D577" s="28"/>
      <c r="F577" s="30"/>
      <c r="J577" s="28"/>
      <c r="L577" s="28"/>
    </row>
    <row r="578" spans="4:12">
      <c r="D578" s="28"/>
      <c r="F578" s="30"/>
      <c r="J578" s="28"/>
      <c r="L578" s="28"/>
    </row>
    <row r="579" spans="4:12">
      <c r="D579" s="28"/>
      <c r="F579" s="30"/>
      <c r="J579" s="28"/>
      <c r="L579" s="28"/>
    </row>
    <row r="580" spans="4:12">
      <c r="D580" s="28"/>
      <c r="F580" s="30"/>
      <c r="J580" s="28"/>
      <c r="L580" s="28"/>
    </row>
    <row r="581" spans="4:12">
      <c r="D581" s="28"/>
      <c r="F581" s="30"/>
      <c r="J581" s="28"/>
      <c r="L581" s="28"/>
    </row>
    <row r="582" spans="4:12">
      <c r="D582" s="28"/>
      <c r="F582" s="30"/>
      <c r="J582" s="28"/>
      <c r="L582" s="28"/>
    </row>
    <row r="583" spans="4:12">
      <c r="D583" s="28"/>
      <c r="F583" s="30"/>
      <c r="J583" s="28"/>
      <c r="L583" s="28"/>
    </row>
    <row r="584" spans="4:12">
      <c r="D584" s="28"/>
      <c r="F584" s="30"/>
      <c r="J584" s="28"/>
      <c r="L584" s="28"/>
    </row>
    <row r="585" spans="4:12">
      <c r="D585" s="28"/>
      <c r="F585" s="30"/>
      <c r="J585" s="28"/>
      <c r="L585" s="28"/>
    </row>
    <row r="586" spans="4:12">
      <c r="D586" s="28"/>
      <c r="F586" s="30"/>
      <c r="J586" s="28"/>
      <c r="L586" s="28"/>
    </row>
    <row r="587" spans="4:12">
      <c r="D587" s="28"/>
      <c r="F587" s="30"/>
      <c r="J587" s="28"/>
      <c r="L587" s="28"/>
    </row>
    <row r="588" spans="4:12">
      <c r="D588" s="28"/>
      <c r="F588" s="30"/>
      <c r="J588" s="28"/>
      <c r="L588" s="28"/>
    </row>
    <row r="589" spans="4:12">
      <c r="D589" s="28"/>
      <c r="F589" s="30"/>
      <c r="J589" s="28"/>
      <c r="L589" s="28"/>
    </row>
    <row r="590" spans="4:12">
      <c r="D590" s="28"/>
      <c r="F590" s="30"/>
      <c r="J590" s="28"/>
      <c r="L590" s="28"/>
    </row>
    <row r="591" spans="4:12">
      <c r="D591" s="28"/>
      <c r="F591" s="30"/>
      <c r="J591" s="28"/>
      <c r="L591" s="28"/>
    </row>
    <row r="592" spans="4:12">
      <c r="D592" s="28"/>
      <c r="F592" s="30"/>
      <c r="J592" s="28"/>
      <c r="L592" s="28"/>
    </row>
    <row r="593" spans="4:12">
      <c r="D593" s="28"/>
      <c r="F593" s="30"/>
      <c r="J593" s="28"/>
      <c r="L593" s="28"/>
    </row>
    <row r="594" spans="4:12">
      <c r="D594" s="28"/>
      <c r="F594" s="30"/>
      <c r="J594" s="28"/>
      <c r="L594" s="28"/>
    </row>
    <row r="595" spans="4:12">
      <c r="D595" s="28"/>
      <c r="F595" s="30"/>
      <c r="J595" s="28"/>
      <c r="L595" s="28"/>
    </row>
    <row r="596" spans="4:12">
      <c r="D596" s="28"/>
      <c r="F596" s="30"/>
      <c r="J596" s="28"/>
      <c r="L596" s="28"/>
    </row>
    <row r="597" spans="4:12">
      <c r="D597" s="28"/>
      <c r="F597" s="30"/>
      <c r="J597" s="28"/>
      <c r="L597" s="28"/>
    </row>
    <row r="598" spans="4:12">
      <c r="D598" s="28"/>
      <c r="F598" s="30"/>
      <c r="J598" s="28"/>
      <c r="L598" s="28"/>
    </row>
    <row r="599" spans="4:12">
      <c r="D599" s="28"/>
      <c r="F599" s="30"/>
      <c r="J599" s="28"/>
      <c r="L599" s="28"/>
    </row>
    <row r="600" spans="4:12">
      <c r="D600" s="28"/>
      <c r="F600" s="30"/>
      <c r="J600" s="28"/>
      <c r="L600" s="28"/>
    </row>
    <row r="601" spans="4:12">
      <c r="D601" s="28"/>
      <c r="F601" s="30"/>
      <c r="J601" s="28"/>
      <c r="L601" s="28"/>
    </row>
    <row r="602" spans="4:12">
      <c r="D602" s="28"/>
      <c r="F602" s="30"/>
      <c r="J602" s="28"/>
      <c r="L602" s="28"/>
    </row>
    <row r="603" spans="4:12">
      <c r="D603" s="28"/>
      <c r="F603" s="30"/>
      <c r="J603" s="28"/>
      <c r="L603" s="28"/>
    </row>
    <row r="604" spans="4:12">
      <c r="D604" s="28"/>
      <c r="F604" s="30"/>
      <c r="J604" s="28"/>
      <c r="L604" s="28"/>
    </row>
    <row r="605" spans="4:12">
      <c r="D605" s="28"/>
      <c r="F605" s="30"/>
      <c r="J605" s="28"/>
      <c r="L605" s="28"/>
    </row>
    <row r="606" spans="4:12">
      <c r="D606" s="28"/>
      <c r="F606" s="30"/>
      <c r="J606" s="28"/>
      <c r="L606" s="28"/>
    </row>
    <row r="607" spans="4:12">
      <c r="D607" s="28"/>
      <c r="F607" s="30"/>
      <c r="J607" s="28"/>
      <c r="L607" s="28"/>
    </row>
    <row r="608" spans="4:12">
      <c r="D608" s="28"/>
      <c r="F608" s="30"/>
      <c r="J608" s="28"/>
      <c r="L608" s="28"/>
    </row>
    <row r="609" spans="4:12">
      <c r="D609" s="28"/>
      <c r="F609" s="30"/>
      <c r="J609" s="28"/>
      <c r="L609" s="28"/>
    </row>
    <row r="610" spans="4:12">
      <c r="D610" s="28"/>
      <c r="F610" s="30"/>
      <c r="J610" s="28"/>
      <c r="L610" s="28"/>
    </row>
    <row r="611" spans="4:12">
      <c r="D611" s="28"/>
      <c r="F611" s="30"/>
      <c r="J611" s="28"/>
      <c r="L611" s="28"/>
    </row>
    <row r="612" spans="4:12">
      <c r="D612" s="28"/>
      <c r="F612" s="30"/>
      <c r="J612" s="28"/>
      <c r="L612" s="28"/>
    </row>
    <row r="613" spans="4:12">
      <c r="D613" s="28"/>
      <c r="F613" s="30"/>
      <c r="J613" s="28"/>
      <c r="L613" s="28"/>
    </row>
    <row r="614" spans="4:12">
      <c r="D614" s="28"/>
      <c r="F614" s="30"/>
      <c r="J614" s="28"/>
      <c r="L614" s="28"/>
    </row>
    <row r="615" spans="4:12">
      <c r="D615" s="28"/>
      <c r="F615" s="30"/>
      <c r="J615" s="28"/>
      <c r="L615" s="28"/>
    </row>
    <row r="616" spans="4:12">
      <c r="D616" s="28"/>
      <c r="F616" s="30"/>
      <c r="J616" s="28"/>
      <c r="L616" s="28"/>
    </row>
    <row r="617" spans="4:12">
      <c r="D617" s="28"/>
      <c r="F617" s="30"/>
      <c r="J617" s="28"/>
      <c r="L617" s="28"/>
    </row>
    <row r="618" spans="4:12">
      <c r="D618" s="28"/>
      <c r="F618" s="30"/>
      <c r="J618" s="28"/>
      <c r="L618" s="28"/>
    </row>
    <row r="619" spans="4:12">
      <c r="D619" s="28"/>
      <c r="F619" s="30"/>
      <c r="J619" s="28"/>
      <c r="L619" s="28"/>
    </row>
    <row r="620" spans="4:12">
      <c r="D620" s="28"/>
      <c r="F620" s="30"/>
      <c r="J620" s="28"/>
      <c r="L620" s="28"/>
    </row>
    <row r="621" spans="4:12">
      <c r="D621" s="28"/>
      <c r="F621" s="30"/>
      <c r="J621" s="28"/>
      <c r="L621" s="28"/>
    </row>
    <row r="622" spans="4:12">
      <c r="D622" s="28"/>
      <c r="F622" s="30"/>
      <c r="J622" s="28"/>
      <c r="L622" s="28"/>
    </row>
    <row r="623" spans="4:12">
      <c r="D623" s="28"/>
      <c r="F623" s="30"/>
      <c r="J623" s="28"/>
      <c r="L623" s="28"/>
    </row>
    <row r="624" spans="4:12">
      <c r="D624" s="28"/>
      <c r="F624" s="30"/>
      <c r="J624" s="28"/>
      <c r="L624" s="28"/>
    </row>
    <row r="625" spans="4:12">
      <c r="D625" s="28"/>
      <c r="F625" s="30"/>
      <c r="J625" s="28"/>
      <c r="L625" s="28"/>
    </row>
    <row r="626" spans="4:12">
      <c r="D626" s="28"/>
      <c r="F626" s="30"/>
      <c r="J626" s="28"/>
      <c r="L626" s="28"/>
    </row>
    <row r="627" spans="4:12">
      <c r="D627" s="28"/>
      <c r="F627" s="30"/>
      <c r="J627" s="28"/>
      <c r="L627" s="28"/>
    </row>
    <row r="628" spans="4:12">
      <c r="D628" s="28"/>
      <c r="F628" s="30"/>
      <c r="J628" s="28"/>
      <c r="L628" s="28"/>
    </row>
    <row r="629" spans="4:12">
      <c r="D629" s="28"/>
      <c r="F629" s="30"/>
      <c r="J629" s="28"/>
      <c r="L629" s="28"/>
    </row>
    <row r="630" spans="4:12">
      <c r="D630" s="28"/>
      <c r="F630" s="30"/>
      <c r="J630" s="28"/>
      <c r="L630" s="28"/>
    </row>
    <row r="631" spans="4:12">
      <c r="D631" s="28"/>
      <c r="F631" s="30"/>
      <c r="J631" s="28"/>
      <c r="L631" s="28"/>
    </row>
    <row r="632" spans="4:12">
      <c r="D632" s="28"/>
      <c r="F632" s="30"/>
      <c r="J632" s="28"/>
      <c r="L632" s="28"/>
    </row>
    <row r="633" spans="4:12">
      <c r="D633" s="28"/>
      <c r="F633" s="30"/>
      <c r="J633" s="28"/>
      <c r="L633" s="28"/>
    </row>
    <row r="634" spans="4:12">
      <c r="D634" s="28"/>
      <c r="F634" s="30"/>
      <c r="J634" s="28"/>
      <c r="L634" s="28"/>
    </row>
    <row r="635" spans="4:12">
      <c r="D635" s="28"/>
      <c r="F635" s="30"/>
      <c r="J635" s="28"/>
      <c r="L635" s="28"/>
    </row>
    <row r="636" spans="4:12">
      <c r="D636" s="28"/>
      <c r="F636" s="30"/>
      <c r="J636" s="28"/>
      <c r="L636" s="28"/>
    </row>
    <row r="637" spans="4:12">
      <c r="D637" s="28"/>
      <c r="F637" s="30"/>
      <c r="J637" s="28"/>
      <c r="L637" s="28"/>
    </row>
    <row r="638" spans="4:12">
      <c r="D638" s="28"/>
      <c r="F638" s="30"/>
      <c r="J638" s="28"/>
      <c r="L638" s="28"/>
    </row>
    <row r="639" spans="4:12">
      <c r="D639" s="28"/>
      <c r="F639" s="30"/>
      <c r="J639" s="28"/>
      <c r="L639" s="28"/>
    </row>
    <row r="640" spans="4:12">
      <c r="D640" s="28"/>
      <c r="F640" s="30"/>
      <c r="J640" s="28"/>
      <c r="L640" s="28"/>
    </row>
    <row r="641" spans="4:12">
      <c r="D641" s="28"/>
      <c r="F641" s="30"/>
      <c r="J641" s="28"/>
      <c r="L641" s="28"/>
    </row>
    <row r="642" spans="4:12">
      <c r="D642" s="28"/>
      <c r="F642" s="30"/>
      <c r="J642" s="28"/>
      <c r="L642" s="28"/>
    </row>
    <row r="643" spans="4:12">
      <c r="D643" s="28"/>
      <c r="F643" s="30"/>
      <c r="J643" s="28"/>
      <c r="L643" s="28"/>
    </row>
    <row r="644" spans="4:12">
      <c r="D644" s="28"/>
      <c r="F644" s="30"/>
      <c r="J644" s="28"/>
      <c r="L644" s="28"/>
    </row>
    <row r="645" spans="4:12">
      <c r="D645" s="28"/>
      <c r="F645" s="30"/>
      <c r="J645" s="28"/>
      <c r="L645" s="28"/>
    </row>
    <row r="646" spans="4:12">
      <c r="D646" s="28"/>
      <c r="F646" s="30"/>
      <c r="J646" s="28"/>
      <c r="L646" s="28"/>
    </row>
    <row r="647" spans="4:12">
      <c r="D647" s="28"/>
      <c r="F647" s="30"/>
      <c r="J647" s="28"/>
      <c r="L647" s="28"/>
    </row>
    <row r="648" spans="4:12">
      <c r="D648" s="28"/>
      <c r="F648" s="30"/>
      <c r="J648" s="28"/>
      <c r="L648" s="28"/>
    </row>
    <row r="649" spans="4:12">
      <c r="D649" s="28"/>
      <c r="F649" s="30"/>
      <c r="J649" s="28"/>
      <c r="L649" s="28"/>
    </row>
    <row r="650" spans="4:12">
      <c r="D650" s="28"/>
      <c r="F650" s="30"/>
      <c r="J650" s="28"/>
      <c r="L650" s="28"/>
    </row>
    <row r="651" spans="4:12">
      <c r="D651" s="28"/>
      <c r="F651" s="30"/>
      <c r="J651" s="28"/>
      <c r="L651" s="28"/>
    </row>
    <row r="652" spans="4:12">
      <c r="D652" s="28"/>
      <c r="F652" s="30"/>
      <c r="J652" s="28"/>
      <c r="L652" s="28"/>
    </row>
    <row r="653" spans="4:12">
      <c r="D653" s="28"/>
      <c r="F653" s="30"/>
      <c r="J653" s="28"/>
      <c r="L653" s="28"/>
    </row>
    <row r="654" spans="4:12">
      <c r="D654" s="28"/>
      <c r="F654" s="30"/>
      <c r="J654" s="28"/>
      <c r="L654" s="28"/>
    </row>
    <row r="655" spans="4:12">
      <c r="D655" s="28"/>
      <c r="F655" s="30"/>
      <c r="J655" s="28"/>
      <c r="L655" s="28"/>
    </row>
    <row r="656" spans="4:12">
      <c r="D656" s="28"/>
      <c r="F656" s="30"/>
      <c r="J656" s="28"/>
      <c r="L656" s="28"/>
    </row>
    <row r="657" spans="4:12">
      <c r="D657" s="28"/>
      <c r="F657" s="30"/>
      <c r="J657" s="28"/>
      <c r="L657" s="28"/>
    </row>
    <row r="658" spans="4:12">
      <c r="D658" s="28"/>
      <c r="F658" s="30"/>
      <c r="J658" s="28"/>
      <c r="L658" s="28"/>
    </row>
    <row r="659" spans="4:12">
      <c r="D659" s="28"/>
      <c r="F659" s="30"/>
      <c r="J659" s="28"/>
      <c r="L659" s="28"/>
    </row>
    <row r="660" spans="4:12">
      <c r="D660" s="28"/>
      <c r="F660" s="30"/>
      <c r="J660" s="28"/>
      <c r="L660" s="28"/>
    </row>
    <row r="661" spans="4:12">
      <c r="D661" s="28"/>
      <c r="F661" s="30"/>
      <c r="J661" s="28"/>
      <c r="L661" s="28"/>
    </row>
    <row r="662" spans="4:12">
      <c r="D662" s="28"/>
      <c r="F662" s="30"/>
      <c r="J662" s="28"/>
      <c r="L662" s="28"/>
    </row>
    <row r="663" spans="4:12">
      <c r="D663" s="28"/>
      <c r="F663" s="30"/>
      <c r="J663" s="28"/>
      <c r="L663" s="28"/>
    </row>
    <row r="664" spans="4:12">
      <c r="D664" s="28"/>
      <c r="F664" s="30"/>
      <c r="J664" s="28"/>
      <c r="L664" s="28"/>
    </row>
    <row r="665" spans="4:12">
      <c r="D665" s="28"/>
      <c r="F665" s="30"/>
      <c r="J665" s="28"/>
      <c r="L665" s="28"/>
    </row>
    <row r="666" spans="4:12">
      <c r="D666" s="28"/>
      <c r="F666" s="30"/>
      <c r="J666" s="28"/>
      <c r="L666" s="28"/>
    </row>
    <row r="667" spans="4:12">
      <c r="D667" s="28"/>
      <c r="F667" s="30"/>
      <c r="J667" s="28"/>
      <c r="L667" s="28"/>
    </row>
    <row r="668" spans="4:12">
      <c r="D668" s="28"/>
      <c r="F668" s="30"/>
      <c r="J668" s="28"/>
      <c r="L668" s="28"/>
    </row>
    <row r="669" spans="4:12">
      <c r="D669" s="28"/>
      <c r="F669" s="30"/>
      <c r="J669" s="28"/>
      <c r="L669" s="28"/>
    </row>
    <row r="670" spans="4:12">
      <c r="D670" s="28"/>
      <c r="F670" s="30"/>
      <c r="J670" s="28"/>
      <c r="L670" s="28"/>
    </row>
    <row r="671" spans="4:12">
      <c r="D671" s="28"/>
      <c r="F671" s="30"/>
      <c r="J671" s="28"/>
      <c r="L671" s="28"/>
    </row>
    <row r="672" spans="4:12">
      <c r="D672" s="28"/>
      <c r="F672" s="30"/>
      <c r="J672" s="28"/>
      <c r="L672" s="28"/>
    </row>
    <row r="673" spans="4:12">
      <c r="D673" s="28"/>
      <c r="F673" s="30"/>
      <c r="J673" s="28"/>
      <c r="L673" s="28"/>
    </row>
    <row r="674" spans="4:12">
      <c r="D674" s="28"/>
      <c r="F674" s="30"/>
      <c r="J674" s="28"/>
      <c r="L674" s="28"/>
    </row>
    <row r="675" spans="4:12">
      <c r="D675" s="28"/>
      <c r="F675" s="30"/>
      <c r="J675" s="28"/>
      <c r="L675" s="28"/>
    </row>
    <row r="676" spans="4:12">
      <c r="D676" s="28"/>
      <c r="F676" s="30"/>
      <c r="J676" s="28"/>
      <c r="L676" s="28"/>
    </row>
    <row r="677" spans="4:12">
      <c r="D677" s="28"/>
      <c r="F677" s="30"/>
      <c r="J677" s="28"/>
      <c r="L677" s="28"/>
    </row>
    <row r="678" spans="4:12">
      <c r="D678" s="28"/>
      <c r="F678" s="30"/>
      <c r="J678" s="28"/>
      <c r="L678" s="28"/>
    </row>
    <row r="679" spans="4:12">
      <c r="D679" s="28"/>
      <c r="F679" s="30"/>
      <c r="J679" s="28"/>
      <c r="L679" s="28"/>
    </row>
    <row r="680" spans="4:12">
      <c r="D680" s="28"/>
      <c r="F680" s="30"/>
      <c r="J680" s="28"/>
      <c r="L680" s="28"/>
    </row>
    <row r="681" spans="4:12">
      <c r="D681" s="28"/>
      <c r="F681" s="30"/>
      <c r="J681" s="28"/>
      <c r="L681" s="28"/>
    </row>
    <row r="682" spans="4:12">
      <c r="D682" s="28"/>
      <c r="F682" s="30"/>
      <c r="J682" s="28"/>
      <c r="L682" s="28"/>
    </row>
    <row r="683" spans="4:12">
      <c r="D683" s="28"/>
      <c r="F683" s="30"/>
      <c r="J683" s="28"/>
      <c r="L683" s="28"/>
    </row>
    <row r="684" spans="4:12">
      <c r="D684" s="28"/>
      <c r="F684" s="30"/>
      <c r="J684" s="28"/>
      <c r="L684" s="28"/>
    </row>
    <row r="685" spans="4:12">
      <c r="D685" s="28"/>
      <c r="F685" s="30"/>
      <c r="J685" s="28"/>
      <c r="L685" s="28"/>
    </row>
    <row r="686" spans="4:12">
      <c r="D686" s="28"/>
      <c r="F686" s="30"/>
      <c r="J686" s="28"/>
      <c r="L686" s="28"/>
    </row>
    <row r="687" spans="4:12">
      <c r="D687" s="28"/>
      <c r="F687" s="30"/>
      <c r="J687" s="28"/>
      <c r="L687" s="28"/>
    </row>
    <row r="688" spans="4:12">
      <c r="D688" s="28"/>
      <c r="F688" s="30"/>
      <c r="J688" s="28"/>
      <c r="L688" s="28"/>
    </row>
    <row r="689" spans="4:12">
      <c r="D689" s="28"/>
      <c r="F689" s="30"/>
      <c r="J689" s="28"/>
      <c r="L689" s="28"/>
    </row>
    <row r="690" spans="4:12">
      <c r="D690" s="28"/>
      <c r="F690" s="30"/>
      <c r="J690" s="28"/>
      <c r="L690" s="28"/>
    </row>
    <row r="691" spans="4:12">
      <c r="D691" s="28"/>
      <c r="F691" s="30"/>
      <c r="J691" s="28"/>
      <c r="L691" s="28"/>
    </row>
    <row r="692" spans="4:12">
      <c r="D692" s="28"/>
      <c r="F692" s="30"/>
      <c r="J692" s="28"/>
      <c r="L692" s="28"/>
    </row>
    <row r="693" spans="4:12">
      <c r="D693" s="28"/>
      <c r="F693" s="30"/>
      <c r="J693" s="28"/>
      <c r="L693" s="28"/>
    </row>
    <row r="694" spans="4:12">
      <c r="D694" s="28"/>
      <c r="F694" s="30"/>
      <c r="J694" s="28"/>
      <c r="L694" s="28"/>
    </row>
    <row r="695" spans="4:12">
      <c r="D695" s="28"/>
      <c r="F695" s="30"/>
      <c r="J695" s="28"/>
      <c r="L695" s="28"/>
    </row>
    <row r="696" spans="4:12">
      <c r="D696" s="28"/>
      <c r="F696" s="30"/>
      <c r="J696" s="28"/>
      <c r="L696" s="28"/>
    </row>
    <row r="697" spans="4:12">
      <c r="D697" s="28"/>
      <c r="F697" s="30"/>
      <c r="J697" s="28"/>
      <c r="L697" s="28"/>
    </row>
    <row r="698" spans="4:12">
      <c r="D698" s="28"/>
      <c r="F698" s="30"/>
      <c r="J698" s="28"/>
      <c r="L698" s="28"/>
    </row>
    <row r="699" spans="4:12">
      <c r="D699" s="28"/>
      <c r="F699" s="30"/>
      <c r="J699" s="28"/>
      <c r="L699" s="28"/>
    </row>
    <row r="700" spans="4:12">
      <c r="D700" s="28"/>
      <c r="F700" s="30"/>
      <c r="J700" s="28"/>
      <c r="L700" s="28"/>
    </row>
    <row r="701" spans="4:12">
      <c r="D701" s="28"/>
      <c r="F701" s="30"/>
      <c r="J701" s="28"/>
      <c r="L701" s="28"/>
    </row>
    <row r="702" spans="4:12">
      <c r="D702" s="28"/>
      <c r="F702" s="30"/>
      <c r="J702" s="28"/>
      <c r="L702" s="28"/>
    </row>
    <row r="703" spans="4:12">
      <c r="D703" s="28"/>
      <c r="F703" s="30"/>
      <c r="J703" s="28"/>
      <c r="L703" s="28"/>
    </row>
    <row r="704" spans="4:12">
      <c r="D704" s="28"/>
      <c r="F704" s="30"/>
      <c r="J704" s="28"/>
      <c r="L704" s="28"/>
    </row>
    <row r="705" spans="4:12">
      <c r="D705" s="28"/>
      <c r="F705" s="30"/>
      <c r="J705" s="28"/>
      <c r="L705" s="28"/>
    </row>
    <row r="706" spans="4:12">
      <c r="D706" s="28"/>
      <c r="F706" s="30"/>
      <c r="J706" s="28"/>
      <c r="L706" s="28"/>
    </row>
    <row r="707" spans="4:12">
      <c r="D707" s="28"/>
      <c r="F707" s="30"/>
      <c r="J707" s="28"/>
      <c r="L707" s="28"/>
    </row>
    <row r="708" spans="4:12">
      <c r="D708" s="28"/>
      <c r="F708" s="30"/>
      <c r="J708" s="28"/>
      <c r="L708" s="28"/>
    </row>
    <row r="709" spans="4:12">
      <c r="D709" s="28"/>
      <c r="F709" s="30"/>
      <c r="J709" s="28"/>
      <c r="L709" s="28"/>
    </row>
    <row r="710" spans="4:12">
      <c r="D710" s="28"/>
      <c r="F710" s="30"/>
      <c r="J710" s="28"/>
      <c r="L710" s="28"/>
    </row>
    <row r="711" spans="4:12">
      <c r="D711" s="28"/>
      <c r="F711" s="30"/>
      <c r="J711" s="28"/>
      <c r="L711" s="28"/>
    </row>
    <row r="712" spans="4:12">
      <c r="D712" s="28"/>
      <c r="F712" s="30"/>
      <c r="J712" s="28"/>
      <c r="L712" s="28"/>
    </row>
    <row r="713" spans="4:12">
      <c r="D713" s="28"/>
      <c r="F713" s="30"/>
      <c r="J713" s="28"/>
      <c r="L713" s="28"/>
    </row>
    <row r="714" spans="4:12">
      <c r="D714" s="28"/>
      <c r="F714" s="30"/>
      <c r="J714" s="28"/>
      <c r="L714" s="28"/>
    </row>
    <row r="715" spans="4:12">
      <c r="D715" s="28"/>
      <c r="F715" s="30"/>
      <c r="J715" s="28"/>
      <c r="L715" s="28"/>
    </row>
    <row r="716" spans="4:12">
      <c r="D716" s="28"/>
      <c r="F716" s="30"/>
      <c r="J716" s="28"/>
      <c r="L716" s="28"/>
    </row>
    <row r="717" spans="4:12">
      <c r="D717" s="28"/>
      <c r="F717" s="30"/>
      <c r="J717" s="28"/>
      <c r="L717" s="28"/>
    </row>
    <row r="718" spans="4:12">
      <c r="D718" s="28"/>
      <c r="F718" s="30"/>
      <c r="J718" s="28"/>
      <c r="L718" s="28"/>
    </row>
    <row r="719" spans="4:12">
      <c r="D719" s="28"/>
      <c r="F719" s="30"/>
      <c r="J719" s="28"/>
      <c r="L719" s="28"/>
    </row>
    <row r="720" spans="4:12">
      <c r="D720" s="28"/>
      <c r="F720" s="30"/>
      <c r="J720" s="28"/>
      <c r="L720" s="28"/>
    </row>
    <row r="721" spans="4:12">
      <c r="D721" s="28"/>
      <c r="F721" s="30"/>
      <c r="J721" s="28"/>
      <c r="L721" s="28"/>
    </row>
    <row r="722" spans="4:12">
      <c r="D722" s="28"/>
      <c r="F722" s="30"/>
      <c r="J722" s="28"/>
      <c r="L722" s="28"/>
    </row>
    <row r="723" spans="4:12">
      <c r="D723" s="28"/>
      <c r="F723" s="30"/>
      <c r="J723" s="28"/>
      <c r="L723" s="28"/>
    </row>
    <row r="724" spans="4:12">
      <c r="D724" s="28"/>
      <c r="F724" s="30"/>
      <c r="J724" s="28"/>
      <c r="L724" s="28"/>
    </row>
    <row r="725" spans="4:12">
      <c r="D725" s="28"/>
      <c r="F725" s="30"/>
      <c r="J725" s="28"/>
      <c r="L725" s="28"/>
    </row>
    <row r="726" spans="4:12">
      <c r="D726" s="28"/>
      <c r="F726" s="30"/>
      <c r="J726" s="28"/>
      <c r="L726" s="28"/>
    </row>
    <row r="727" spans="4:12">
      <c r="D727" s="28"/>
      <c r="F727" s="30"/>
      <c r="J727" s="28"/>
      <c r="L727" s="28"/>
    </row>
    <row r="728" spans="4:12">
      <c r="D728" s="28"/>
      <c r="F728" s="30"/>
      <c r="J728" s="28"/>
      <c r="L728" s="28"/>
    </row>
    <row r="729" spans="4:12">
      <c r="D729" s="28"/>
      <c r="F729" s="30"/>
      <c r="J729" s="28"/>
      <c r="L729" s="28"/>
    </row>
    <row r="730" spans="4:12">
      <c r="D730" s="28"/>
      <c r="F730" s="30"/>
      <c r="J730" s="28"/>
      <c r="L730" s="28"/>
    </row>
    <row r="731" spans="4:12">
      <c r="D731" s="28"/>
      <c r="F731" s="30"/>
      <c r="J731" s="28"/>
      <c r="L731" s="28"/>
    </row>
    <row r="732" spans="4:12">
      <c r="D732" s="28"/>
      <c r="F732" s="30"/>
      <c r="J732" s="28"/>
      <c r="L732" s="28"/>
    </row>
    <row r="733" spans="4:12">
      <c r="D733" s="28"/>
      <c r="F733" s="30"/>
      <c r="J733" s="28"/>
      <c r="L733" s="28"/>
    </row>
    <row r="734" spans="4:12">
      <c r="D734" s="28"/>
      <c r="F734" s="30"/>
      <c r="J734" s="28"/>
      <c r="L734" s="28"/>
    </row>
    <row r="735" spans="4:12">
      <c r="D735" s="28"/>
      <c r="F735" s="30"/>
      <c r="J735" s="28"/>
      <c r="L735" s="28"/>
    </row>
    <row r="736" spans="4:12">
      <c r="D736" s="28"/>
      <c r="F736" s="30"/>
      <c r="J736" s="28"/>
      <c r="L736" s="28"/>
    </row>
    <row r="737" spans="4:12">
      <c r="D737" s="28"/>
      <c r="F737" s="30"/>
      <c r="J737" s="28"/>
      <c r="L737" s="28"/>
    </row>
    <row r="738" spans="4:12">
      <c r="D738" s="28"/>
      <c r="F738" s="30"/>
      <c r="J738" s="28"/>
      <c r="L738" s="28"/>
    </row>
    <row r="739" spans="4:12">
      <c r="D739" s="28"/>
      <c r="F739" s="30"/>
      <c r="J739" s="28"/>
      <c r="L739" s="28"/>
    </row>
    <row r="740" spans="4:12">
      <c r="D740" s="28"/>
      <c r="F740" s="30"/>
      <c r="J740" s="28"/>
      <c r="L740" s="28"/>
    </row>
    <row r="741" spans="4:12">
      <c r="D741" s="28"/>
      <c r="F741" s="30"/>
      <c r="J741" s="28"/>
      <c r="L741" s="28"/>
    </row>
    <row r="742" spans="4:12">
      <c r="D742" s="28"/>
      <c r="F742" s="30"/>
      <c r="J742" s="28"/>
      <c r="L742" s="28"/>
    </row>
    <row r="743" spans="4:12">
      <c r="D743" s="28"/>
      <c r="F743" s="30"/>
      <c r="J743" s="28"/>
      <c r="L743" s="28"/>
    </row>
    <row r="744" spans="4:12">
      <c r="D744" s="28"/>
      <c r="F744" s="30"/>
      <c r="J744" s="28"/>
      <c r="L744" s="28"/>
    </row>
    <row r="745" spans="4:12">
      <c r="D745" s="28"/>
      <c r="F745" s="30"/>
      <c r="J745" s="28"/>
      <c r="L745" s="28"/>
    </row>
    <row r="746" spans="4:12">
      <c r="D746" s="28"/>
      <c r="F746" s="30"/>
      <c r="J746" s="28"/>
      <c r="L746" s="28"/>
    </row>
    <row r="747" spans="4:12">
      <c r="D747" s="28"/>
      <c r="F747" s="30"/>
      <c r="J747" s="28"/>
      <c r="L747" s="28"/>
    </row>
    <row r="748" spans="4:12">
      <c r="D748" s="28"/>
      <c r="F748" s="30"/>
      <c r="J748" s="28"/>
      <c r="L748" s="28"/>
    </row>
    <row r="749" spans="4:12">
      <c r="D749" s="28"/>
      <c r="F749" s="30"/>
      <c r="J749" s="28"/>
      <c r="L749" s="28"/>
    </row>
    <row r="750" spans="4:12">
      <c r="D750" s="28"/>
      <c r="F750" s="30"/>
      <c r="J750" s="28"/>
      <c r="L750" s="28"/>
    </row>
    <row r="751" spans="4:12">
      <c r="D751" s="28"/>
      <c r="F751" s="30"/>
      <c r="J751" s="28"/>
      <c r="L751" s="28"/>
    </row>
    <row r="752" spans="4:12">
      <c r="D752" s="28"/>
      <c r="F752" s="30"/>
      <c r="J752" s="28"/>
      <c r="L752" s="28"/>
    </row>
    <row r="753" spans="4:12">
      <c r="D753" s="28"/>
      <c r="F753" s="30"/>
      <c r="J753" s="28"/>
      <c r="L753" s="28"/>
    </row>
    <row r="754" spans="4:12">
      <c r="D754" s="28"/>
      <c r="F754" s="30"/>
      <c r="J754" s="28"/>
      <c r="L754" s="28"/>
    </row>
    <row r="755" spans="4:12">
      <c r="D755" s="28"/>
      <c r="F755" s="30"/>
      <c r="J755" s="28"/>
      <c r="L755" s="28"/>
    </row>
    <row r="756" spans="4:12">
      <c r="D756" s="28"/>
      <c r="F756" s="30"/>
      <c r="J756" s="28"/>
      <c r="L756" s="28"/>
    </row>
    <row r="757" spans="4:12">
      <c r="D757" s="28"/>
      <c r="F757" s="30"/>
      <c r="J757" s="28"/>
      <c r="L757" s="28"/>
    </row>
    <row r="758" spans="4:12">
      <c r="D758" s="28"/>
      <c r="F758" s="30"/>
      <c r="J758" s="28"/>
      <c r="L758" s="28"/>
    </row>
    <row r="759" spans="4:12">
      <c r="D759" s="28"/>
      <c r="F759" s="30"/>
      <c r="J759" s="28"/>
      <c r="L759" s="28"/>
    </row>
    <row r="760" spans="4:12">
      <c r="D760" s="28"/>
      <c r="F760" s="30"/>
      <c r="J760" s="28"/>
      <c r="L760" s="28"/>
    </row>
    <row r="761" spans="4:12">
      <c r="D761" s="28"/>
      <c r="F761" s="30"/>
      <c r="J761" s="28"/>
      <c r="L761" s="28"/>
    </row>
    <row r="762" spans="4:12">
      <c r="D762" s="28"/>
      <c r="F762" s="30"/>
      <c r="J762" s="28"/>
      <c r="L762" s="28"/>
    </row>
    <row r="763" spans="4:12">
      <c r="D763" s="28"/>
      <c r="F763" s="30"/>
      <c r="J763" s="28"/>
      <c r="L763" s="28"/>
    </row>
    <row r="764" spans="4:12">
      <c r="D764" s="28"/>
      <c r="F764" s="30"/>
      <c r="J764" s="28"/>
      <c r="L764" s="28"/>
    </row>
    <row r="765" spans="4:12">
      <c r="D765" s="28"/>
      <c r="F765" s="30"/>
      <c r="J765" s="28"/>
      <c r="L765" s="28"/>
    </row>
    <row r="766" spans="4:12">
      <c r="D766" s="28"/>
      <c r="F766" s="30"/>
      <c r="J766" s="28"/>
      <c r="L766" s="28"/>
    </row>
    <row r="767" spans="4:12">
      <c r="D767" s="28"/>
      <c r="F767" s="30"/>
      <c r="J767" s="28"/>
      <c r="L767" s="28"/>
    </row>
    <row r="768" spans="4:12">
      <c r="D768" s="28"/>
      <c r="F768" s="30"/>
      <c r="J768" s="28"/>
      <c r="L768" s="28"/>
    </row>
    <row r="769" spans="4:12">
      <c r="D769" s="28"/>
      <c r="F769" s="30"/>
      <c r="J769" s="28"/>
      <c r="L769" s="28"/>
    </row>
    <row r="770" spans="4:12">
      <c r="D770" s="28"/>
      <c r="F770" s="30"/>
      <c r="J770" s="28"/>
      <c r="L770" s="28"/>
    </row>
    <row r="771" spans="4:12">
      <c r="D771" s="28"/>
      <c r="F771" s="30"/>
      <c r="J771" s="28"/>
      <c r="L771" s="28"/>
    </row>
    <row r="772" spans="4:12">
      <c r="D772" s="28"/>
      <c r="F772" s="30"/>
      <c r="J772" s="28"/>
      <c r="L772" s="28"/>
    </row>
    <row r="773" spans="4:12">
      <c r="D773" s="28"/>
      <c r="F773" s="30"/>
      <c r="J773" s="28"/>
      <c r="L773" s="28"/>
    </row>
    <row r="774" spans="4:12">
      <c r="D774" s="28"/>
      <c r="F774" s="30"/>
      <c r="J774" s="28"/>
      <c r="L774" s="28"/>
    </row>
    <row r="775" spans="4:12">
      <c r="D775" s="28"/>
      <c r="F775" s="30"/>
      <c r="J775" s="28"/>
      <c r="L775" s="28"/>
    </row>
    <row r="776" spans="4:12">
      <c r="D776" s="28"/>
      <c r="F776" s="30"/>
      <c r="J776" s="28"/>
      <c r="L776" s="28"/>
    </row>
    <row r="777" spans="4:12">
      <c r="D777" s="28"/>
      <c r="F777" s="30"/>
      <c r="J777" s="28"/>
      <c r="L777" s="28"/>
    </row>
    <row r="778" spans="4:12">
      <c r="D778" s="28"/>
      <c r="F778" s="30"/>
      <c r="J778" s="28"/>
      <c r="L778" s="28"/>
    </row>
    <row r="779" spans="4:12">
      <c r="D779" s="28"/>
      <c r="F779" s="30"/>
      <c r="J779" s="28"/>
      <c r="L779" s="28"/>
    </row>
    <row r="780" spans="4:12">
      <c r="D780" s="28"/>
      <c r="F780" s="30"/>
      <c r="J780" s="28"/>
      <c r="L780" s="28"/>
    </row>
    <row r="781" spans="4:12" ht="15" customHeight="1">
      <c r="D781" s="28"/>
      <c r="F781" s="30"/>
      <c r="J781" s="28"/>
      <c r="L781" s="28"/>
    </row>
    <row r="782" spans="4:12" ht="15" customHeight="1">
      <c r="D782" s="28"/>
      <c r="F782" s="30"/>
      <c r="J782" s="28"/>
      <c r="L782" s="28"/>
    </row>
    <row r="783" spans="4:12" ht="15" customHeight="1">
      <c r="D783" s="28"/>
      <c r="F783" s="30"/>
      <c r="J783" s="28"/>
      <c r="L783" s="28"/>
    </row>
    <row r="784" spans="4:12" ht="15" customHeight="1">
      <c r="D784" s="28"/>
      <c r="F784" s="30"/>
      <c r="J784" s="28"/>
      <c r="L784" s="28"/>
    </row>
    <row r="785" spans="4:12" ht="15" customHeight="1">
      <c r="D785" s="28"/>
      <c r="F785" s="30"/>
      <c r="J785" s="28"/>
      <c r="L785" s="28"/>
    </row>
    <row r="786" spans="4:12" ht="15" customHeight="1">
      <c r="D786" s="28"/>
      <c r="F786" s="30"/>
      <c r="J786" s="28"/>
      <c r="L786" s="28"/>
    </row>
    <row r="787" spans="4:12" ht="15" customHeight="1">
      <c r="D787" s="28"/>
      <c r="F787" s="30"/>
      <c r="J787" s="28"/>
      <c r="L787" s="28"/>
    </row>
    <row r="788" spans="4:12" ht="15" customHeight="1">
      <c r="D788" s="28"/>
      <c r="F788" s="30"/>
      <c r="J788" s="28"/>
      <c r="L788" s="28"/>
    </row>
    <row r="789" spans="4:12" ht="15" customHeight="1">
      <c r="D789" s="28"/>
      <c r="F789" s="30"/>
      <c r="J789" s="28"/>
      <c r="L789" s="28"/>
    </row>
    <row r="790" spans="4:12" ht="15" customHeight="1">
      <c r="D790" s="28"/>
      <c r="F790" s="30"/>
      <c r="J790" s="28"/>
      <c r="L790" s="28"/>
    </row>
    <row r="791" spans="4:12" ht="15" customHeight="1">
      <c r="D791" s="28"/>
      <c r="F791" s="30"/>
      <c r="J791" s="28"/>
      <c r="L791" s="28"/>
    </row>
    <row r="792" spans="4:12" ht="15" customHeight="1">
      <c r="D792" s="28"/>
      <c r="F792" s="30"/>
      <c r="J792" s="28"/>
      <c r="L792" s="28"/>
    </row>
    <row r="793" spans="4:12" ht="15" customHeight="1">
      <c r="D793" s="28"/>
      <c r="F793" s="30"/>
      <c r="J793" s="28"/>
      <c r="L793" s="28"/>
    </row>
    <row r="794" spans="4:12" ht="15" customHeight="1">
      <c r="D794" s="28"/>
      <c r="F794" s="30"/>
      <c r="J794" s="28"/>
      <c r="L794" s="28"/>
    </row>
    <row r="795" spans="4:12" ht="15" customHeight="1">
      <c r="D795" s="28"/>
      <c r="F795" s="30"/>
      <c r="J795" s="28"/>
      <c r="L795" s="28"/>
    </row>
    <row r="796" spans="4:12" ht="15" customHeight="1">
      <c r="D796" s="28"/>
      <c r="F796" s="30"/>
      <c r="J796" s="28"/>
      <c r="L796" s="28"/>
    </row>
    <row r="797" spans="4:12" ht="15" customHeight="1">
      <c r="D797" s="28"/>
      <c r="F797" s="30"/>
      <c r="J797" s="28"/>
      <c r="L797" s="28"/>
    </row>
    <row r="798" spans="4:12" ht="15" customHeight="1">
      <c r="D798" s="28"/>
      <c r="F798" s="30"/>
      <c r="J798" s="28"/>
      <c r="L798" s="28"/>
    </row>
    <row r="799" spans="4:12" ht="15" customHeight="1">
      <c r="D799" s="28"/>
      <c r="F799" s="30"/>
      <c r="J799" s="28"/>
      <c r="L799" s="28"/>
    </row>
    <row r="800" spans="4:12" ht="15" customHeight="1">
      <c r="D800" s="28"/>
      <c r="F800" s="30"/>
      <c r="J800" s="28"/>
      <c r="L800" s="28"/>
    </row>
    <row r="801" spans="4:12" ht="15" customHeight="1">
      <c r="D801" s="28"/>
      <c r="F801" s="30"/>
      <c r="J801" s="28"/>
      <c r="L801" s="28"/>
    </row>
    <row r="802" spans="4:12" ht="15" customHeight="1">
      <c r="D802" s="28"/>
      <c r="F802" s="30"/>
      <c r="J802" s="28"/>
      <c r="L802" s="28"/>
    </row>
    <row r="803" spans="4:12" ht="15" customHeight="1">
      <c r="D803" s="28"/>
      <c r="F803" s="30"/>
      <c r="J803" s="28"/>
      <c r="L803" s="28"/>
    </row>
    <row r="804" spans="4:12" ht="15" customHeight="1">
      <c r="D804" s="28"/>
      <c r="F804" s="30"/>
      <c r="J804" s="28"/>
      <c r="L804" s="28"/>
    </row>
    <row r="805" spans="4:12" ht="15" customHeight="1">
      <c r="D805" s="28"/>
      <c r="F805" s="30"/>
      <c r="J805" s="28"/>
      <c r="L805" s="28"/>
    </row>
    <row r="806" spans="4:12" ht="15" customHeight="1">
      <c r="D806" s="28"/>
      <c r="F806" s="30"/>
      <c r="J806" s="28"/>
      <c r="L806" s="28"/>
    </row>
    <row r="807" spans="4:12" ht="15" customHeight="1">
      <c r="D807" s="28"/>
      <c r="F807" s="30"/>
      <c r="J807" s="28"/>
      <c r="L807" s="28"/>
    </row>
    <row r="808" spans="4:12" ht="15" customHeight="1">
      <c r="D808" s="28"/>
      <c r="F808" s="30"/>
      <c r="J808" s="28"/>
      <c r="L808" s="28"/>
    </row>
    <row r="809" spans="4:12" ht="15" customHeight="1">
      <c r="D809" s="28"/>
      <c r="F809" s="30"/>
      <c r="J809" s="28"/>
      <c r="L809" s="28"/>
    </row>
    <row r="810" spans="4:12" ht="15" customHeight="1">
      <c r="D810" s="28"/>
      <c r="F810" s="30"/>
      <c r="J810" s="28"/>
      <c r="L810" s="28"/>
    </row>
    <row r="811" spans="4:12" ht="15" customHeight="1">
      <c r="D811" s="28"/>
      <c r="F811" s="30"/>
      <c r="J811" s="28"/>
      <c r="L811" s="28"/>
    </row>
    <row r="812" spans="4:12" ht="15" customHeight="1">
      <c r="D812" s="28"/>
      <c r="F812" s="30"/>
      <c r="J812" s="28"/>
      <c r="L812" s="28"/>
    </row>
    <row r="813" spans="4:12" ht="15" customHeight="1">
      <c r="D813" s="28"/>
      <c r="F813" s="30"/>
      <c r="J813" s="28"/>
      <c r="L813" s="28"/>
    </row>
    <row r="814" spans="4:12" ht="15" customHeight="1">
      <c r="D814" s="28"/>
      <c r="F814" s="30"/>
      <c r="J814" s="28"/>
      <c r="L814" s="28"/>
    </row>
    <row r="815" spans="4:12" ht="15" customHeight="1">
      <c r="D815" s="28"/>
      <c r="F815" s="30"/>
      <c r="J815" s="28"/>
      <c r="L815" s="28"/>
    </row>
    <row r="816" spans="4:12" ht="15" customHeight="1">
      <c r="D816" s="28"/>
      <c r="F816" s="30"/>
      <c r="J816" s="28"/>
      <c r="L816" s="28"/>
    </row>
    <row r="817" spans="4:12" ht="15" customHeight="1">
      <c r="D817" s="28"/>
      <c r="F817" s="30"/>
      <c r="J817" s="28"/>
      <c r="L817" s="28"/>
    </row>
    <row r="818" spans="4:12" ht="15" customHeight="1">
      <c r="D818" s="28"/>
      <c r="F818" s="30"/>
      <c r="J818" s="28"/>
      <c r="L818" s="28"/>
    </row>
    <row r="819" spans="4:12" ht="15" customHeight="1">
      <c r="D819" s="28"/>
      <c r="F819" s="30"/>
      <c r="J819" s="28"/>
      <c r="L819" s="28"/>
    </row>
    <row r="820" spans="4:12" ht="15" customHeight="1">
      <c r="D820" s="28"/>
      <c r="F820" s="30"/>
      <c r="J820" s="28"/>
      <c r="L820" s="28"/>
    </row>
    <row r="821" spans="4:12" ht="15" customHeight="1">
      <c r="D821" s="28"/>
      <c r="F821" s="30"/>
      <c r="J821" s="28"/>
      <c r="L821" s="28"/>
    </row>
    <row r="822" spans="4:12" ht="15" customHeight="1">
      <c r="D822" s="28"/>
      <c r="F822" s="30"/>
      <c r="J822" s="28"/>
      <c r="L822" s="28"/>
    </row>
    <row r="823" spans="4:12" ht="15" customHeight="1">
      <c r="D823" s="28"/>
      <c r="F823" s="30"/>
      <c r="J823" s="28"/>
      <c r="L823" s="28"/>
    </row>
    <row r="824" spans="4:12" ht="15" customHeight="1">
      <c r="D824" s="28"/>
      <c r="F824" s="30"/>
      <c r="J824" s="28"/>
      <c r="L824" s="28"/>
    </row>
    <row r="825" spans="4:12" ht="15" customHeight="1">
      <c r="D825" s="28"/>
      <c r="F825" s="30"/>
      <c r="J825" s="28"/>
      <c r="L825" s="28"/>
    </row>
    <row r="826" spans="4:12" ht="15" customHeight="1">
      <c r="D826" s="28"/>
      <c r="F826" s="30"/>
      <c r="J826" s="28"/>
      <c r="L826" s="28"/>
    </row>
    <row r="827" spans="4:12" ht="15" customHeight="1">
      <c r="D827" s="28"/>
      <c r="F827" s="30"/>
      <c r="J827" s="28"/>
      <c r="L827" s="28"/>
    </row>
    <row r="828" spans="4:12" ht="15" customHeight="1">
      <c r="D828" s="28"/>
      <c r="F828" s="30"/>
      <c r="J828" s="28"/>
      <c r="L828" s="28"/>
    </row>
    <row r="829" spans="4:12" ht="15" customHeight="1">
      <c r="D829" s="28"/>
      <c r="F829" s="30"/>
      <c r="J829" s="28"/>
      <c r="L829" s="28"/>
    </row>
    <row r="830" spans="4:12" ht="15" customHeight="1">
      <c r="D830" s="28"/>
      <c r="F830" s="30"/>
      <c r="J830" s="28"/>
      <c r="L830" s="28"/>
    </row>
    <row r="831" spans="4:12" ht="15" customHeight="1">
      <c r="D831" s="28"/>
      <c r="F831" s="30"/>
      <c r="J831" s="28"/>
      <c r="L831" s="28"/>
    </row>
    <row r="832" spans="4:12" ht="15" customHeight="1">
      <c r="D832" s="28"/>
      <c r="F832" s="30"/>
      <c r="J832" s="28"/>
      <c r="L832" s="28"/>
    </row>
    <row r="833" spans="4:12" ht="15" customHeight="1">
      <c r="D833" s="28"/>
      <c r="F833" s="30"/>
      <c r="J833" s="28"/>
      <c r="L833" s="28"/>
    </row>
    <row r="834" spans="4:12" ht="15" customHeight="1">
      <c r="D834" s="28"/>
      <c r="F834" s="30"/>
      <c r="J834" s="28"/>
      <c r="L834" s="28"/>
    </row>
    <row r="835" spans="4:12" ht="15" customHeight="1">
      <c r="D835" s="28"/>
      <c r="F835" s="30"/>
      <c r="J835" s="28"/>
      <c r="L835" s="28"/>
    </row>
    <row r="836" spans="4:12" ht="15" customHeight="1">
      <c r="D836" s="28"/>
      <c r="F836" s="30"/>
      <c r="J836" s="28"/>
      <c r="L836" s="28"/>
    </row>
    <row r="837" spans="4:12" ht="15" customHeight="1">
      <c r="D837" s="28"/>
      <c r="F837" s="30"/>
      <c r="J837" s="28"/>
      <c r="L837" s="28"/>
    </row>
    <row r="838" spans="4:12" ht="15" customHeight="1">
      <c r="D838" s="28"/>
      <c r="F838" s="30"/>
      <c r="J838" s="28"/>
      <c r="L838" s="28"/>
    </row>
    <row r="839" spans="4:12" ht="15" customHeight="1">
      <c r="D839" s="28"/>
      <c r="F839" s="30"/>
      <c r="J839" s="28"/>
      <c r="L839" s="28"/>
    </row>
    <row r="840" spans="4:12" ht="15" customHeight="1">
      <c r="D840" s="28"/>
      <c r="F840" s="30"/>
      <c r="J840" s="28"/>
      <c r="L840" s="28"/>
    </row>
    <row r="841" spans="4:12" ht="15" customHeight="1">
      <c r="D841" s="28"/>
      <c r="F841" s="30"/>
      <c r="J841" s="28"/>
      <c r="L841" s="28"/>
    </row>
    <row r="842" spans="4:12" ht="15" customHeight="1">
      <c r="D842" s="28"/>
      <c r="F842" s="30"/>
      <c r="J842" s="28"/>
      <c r="L842" s="28"/>
    </row>
    <row r="843" spans="4:12" ht="15" customHeight="1">
      <c r="D843" s="28"/>
      <c r="F843" s="30"/>
      <c r="J843" s="28"/>
      <c r="L843" s="28"/>
    </row>
    <row r="844" spans="4:12" ht="15" customHeight="1">
      <c r="D844" s="28"/>
      <c r="F844" s="30"/>
      <c r="J844" s="28"/>
      <c r="L844" s="28"/>
    </row>
    <row r="845" spans="4:12" ht="15" customHeight="1">
      <c r="D845" s="28"/>
      <c r="F845" s="30"/>
      <c r="J845" s="28"/>
      <c r="L845" s="28"/>
    </row>
    <row r="846" spans="4:12" ht="15" customHeight="1">
      <c r="D846" s="28"/>
      <c r="F846" s="30"/>
      <c r="J846" s="28"/>
      <c r="L846" s="28"/>
    </row>
    <row r="847" spans="4:12" ht="15" customHeight="1">
      <c r="D847" s="28"/>
      <c r="F847" s="30"/>
      <c r="J847" s="28"/>
      <c r="L847" s="28"/>
    </row>
    <row r="848" spans="4:12" ht="15" customHeight="1">
      <c r="D848" s="28"/>
      <c r="F848" s="30"/>
      <c r="J848" s="28"/>
      <c r="L848" s="28"/>
    </row>
    <row r="849" spans="4:12" ht="15" customHeight="1">
      <c r="D849" s="28"/>
      <c r="F849" s="30"/>
      <c r="J849" s="28"/>
      <c r="L849" s="28"/>
    </row>
    <row r="850" spans="4:12" ht="15" customHeight="1">
      <c r="D850" s="28"/>
      <c r="F850" s="30"/>
      <c r="J850" s="28"/>
      <c r="L850" s="28"/>
    </row>
    <row r="851" spans="4:12" ht="15" customHeight="1">
      <c r="D851" s="28"/>
      <c r="F851" s="30"/>
      <c r="J851" s="28"/>
      <c r="L851" s="28"/>
    </row>
    <row r="852" spans="4:12" ht="15" customHeight="1">
      <c r="D852" s="28"/>
      <c r="F852" s="30"/>
      <c r="J852" s="28"/>
      <c r="L852" s="28"/>
    </row>
    <row r="853" spans="4:12" ht="15" customHeight="1">
      <c r="D853" s="28"/>
      <c r="F853" s="30"/>
      <c r="J853" s="28"/>
      <c r="L853" s="28"/>
    </row>
    <row r="854" spans="4:12" ht="15" customHeight="1">
      <c r="D854" s="28"/>
      <c r="F854" s="30"/>
      <c r="J854" s="28"/>
      <c r="L854" s="28"/>
    </row>
    <row r="855" spans="4:12" ht="15" customHeight="1">
      <c r="D855" s="28"/>
      <c r="F855" s="30"/>
      <c r="J855" s="28"/>
      <c r="L855" s="28"/>
    </row>
    <row r="856" spans="4:12" ht="15" customHeight="1">
      <c r="D856" s="28"/>
      <c r="F856" s="30"/>
      <c r="J856" s="28"/>
      <c r="L856" s="28"/>
    </row>
    <row r="857" spans="4:12" ht="15" customHeight="1">
      <c r="D857" s="28"/>
      <c r="F857" s="30"/>
      <c r="J857" s="28"/>
      <c r="L857" s="28"/>
    </row>
    <row r="858" spans="4:12" ht="15" customHeight="1">
      <c r="D858" s="28"/>
      <c r="F858" s="30"/>
      <c r="J858" s="28"/>
      <c r="L858" s="28"/>
    </row>
    <row r="859" spans="4:12" ht="15" customHeight="1">
      <c r="D859" s="28"/>
      <c r="F859" s="30"/>
      <c r="J859" s="28"/>
      <c r="L859" s="28"/>
    </row>
    <row r="860" spans="4:12" ht="15" customHeight="1">
      <c r="D860" s="28"/>
      <c r="F860" s="30"/>
      <c r="J860" s="28"/>
      <c r="L860" s="28"/>
    </row>
    <row r="861" spans="4:12" ht="15" customHeight="1">
      <c r="D861" s="28"/>
      <c r="F861" s="30"/>
      <c r="J861" s="28"/>
      <c r="L861" s="28"/>
    </row>
    <row r="862" spans="4:12" ht="15" customHeight="1">
      <c r="D862" s="28"/>
      <c r="F862" s="30"/>
      <c r="J862" s="28"/>
      <c r="L862" s="28"/>
    </row>
    <row r="863" spans="4:12" ht="15" customHeight="1">
      <c r="D863" s="28"/>
      <c r="F863" s="30"/>
      <c r="J863" s="28"/>
      <c r="L863" s="28"/>
    </row>
    <row r="864" spans="4:12" ht="15" customHeight="1">
      <c r="D864" s="28"/>
      <c r="F864" s="30"/>
      <c r="J864" s="28"/>
      <c r="L864" s="28"/>
    </row>
    <row r="865" spans="4:12" ht="15" customHeight="1">
      <c r="D865" s="28"/>
      <c r="F865" s="30"/>
      <c r="J865" s="28"/>
      <c r="L865" s="28"/>
    </row>
    <row r="866" spans="4:12" ht="15" customHeight="1">
      <c r="D866" s="28"/>
      <c r="F866" s="30"/>
      <c r="J866" s="28"/>
      <c r="L866" s="28"/>
    </row>
    <row r="867" spans="4:12" ht="15" customHeight="1">
      <c r="D867" s="28"/>
      <c r="F867" s="30"/>
      <c r="J867" s="28"/>
      <c r="L867" s="28"/>
    </row>
    <row r="868" spans="4:12" ht="15" customHeight="1">
      <c r="D868" s="28"/>
      <c r="F868" s="30"/>
      <c r="J868" s="28"/>
      <c r="L868" s="28"/>
    </row>
    <row r="869" spans="4:12" ht="15" customHeight="1">
      <c r="D869" s="28"/>
      <c r="F869" s="30"/>
      <c r="J869" s="28"/>
      <c r="L869" s="28"/>
    </row>
    <row r="870" spans="4:12" ht="15" customHeight="1">
      <c r="D870" s="28"/>
      <c r="F870" s="30"/>
      <c r="J870" s="28"/>
      <c r="L870" s="28"/>
    </row>
    <row r="871" spans="4:12" ht="15" customHeight="1">
      <c r="D871" s="28"/>
      <c r="F871" s="30"/>
      <c r="J871" s="28"/>
      <c r="L871" s="28"/>
    </row>
    <row r="872" spans="4:12" ht="15" customHeight="1">
      <c r="D872" s="28"/>
      <c r="F872" s="30"/>
      <c r="J872" s="28"/>
      <c r="L872" s="28"/>
    </row>
    <row r="873" spans="4:12" ht="15" customHeight="1">
      <c r="D873" s="28"/>
      <c r="F873" s="30"/>
      <c r="J873" s="28"/>
      <c r="L873" s="28"/>
    </row>
    <row r="874" spans="4:12" ht="15" customHeight="1">
      <c r="D874" s="28"/>
      <c r="F874" s="30"/>
      <c r="J874" s="28"/>
      <c r="L874" s="28"/>
    </row>
    <row r="875" spans="4:12" ht="15" customHeight="1">
      <c r="D875" s="28"/>
      <c r="F875" s="30"/>
      <c r="J875" s="28"/>
      <c r="L875" s="28"/>
    </row>
    <row r="876" spans="4:12" ht="15" customHeight="1">
      <c r="D876" s="28"/>
      <c r="F876" s="30"/>
      <c r="J876" s="28"/>
      <c r="L876" s="28"/>
    </row>
    <row r="877" spans="4:12" ht="15" customHeight="1">
      <c r="D877" s="28"/>
      <c r="F877" s="30"/>
      <c r="J877" s="28"/>
      <c r="L877" s="28"/>
    </row>
    <row r="878" spans="4:12" ht="15" customHeight="1">
      <c r="D878" s="28"/>
      <c r="F878" s="30"/>
      <c r="J878" s="28"/>
      <c r="L878" s="28"/>
    </row>
    <row r="879" spans="4:12" ht="15" customHeight="1">
      <c r="D879" s="28"/>
      <c r="F879" s="30"/>
      <c r="J879" s="28"/>
      <c r="L879" s="28"/>
    </row>
    <row r="880" spans="4:12" ht="15" customHeight="1">
      <c r="D880" s="28"/>
      <c r="F880" s="30"/>
      <c r="J880" s="28"/>
      <c r="L880" s="28"/>
    </row>
    <row r="881" spans="4:12" ht="15" customHeight="1">
      <c r="D881" s="28"/>
      <c r="F881" s="30"/>
      <c r="J881" s="28"/>
      <c r="L881" s="28"/>
    </row>
    <row r="882" spans="4:12" ht="15" customHeight="1">
      <c r="D882" s="28"/>
      <c r="F882" s="30"/>
      <c r="J882" s="28"/>
      <c r="L882" s="28"/>
    </row>
    <row r="883" spans="4:12" ht="15" customHeight="1">
      <c r="D883" s="28"/>
      <c r="F883" s="30"/>
      <c r="J883" s="28"/>
      <c r="L883" s="28"/>
    </row>
    <row r="884" spans="4:12" ht="15" customHeight="1">
      <c r="D884" s="28"/>
      <c r="F884" s="30"/>
      <c r="J884" s="28"/>
      <c r="L884" s="28"/>
    </row>
    <row r="885" spans="4:12" ht="15" customHeight="1">
      <c r="D885" s="28"/>
      <c r="F885" s="30"/>
      <c r="J885" s="28"/>
      <c r="L885" s="28"/>
    </row>
    <row r="886" spans="4:12" ht="15" customHeight="1">
      <c r="D886" s="28"/>
      <c r="F886" s="30"/>
      <c r="J886" s="28"/>
      <c r="L886" s="28"/>
    </row>
    <row r="887" spans="4:12" ht="15" customHeight="1">
      <c r="D887" s="28"/>
      <c r="F887" s="30"/>
      <c r="J887" s="28"/>
      <c r="L887" s="28"/>
    </row>
    <row r="888" spans="4:12" ht="15" customHeight="1">
      <c r="D888" s="28"/>
      <c r="F888" s="30"/>
      <c r="J888" s="28"/>
      <c r="L888" s="28"/>
    </row>
    <row r="889" spans="4:12" ht="15" customHeight="1">
      <c r="D889" s="28"/>
      <c r="F889" s="30"/>
      <c r="J889" s="28"/>
      <c r="L889" s="28"/>
    </row>
    <row r="890" spans="4:12" ht="15" customHeight="1">
      <c r="D890" s="28"/>
      <c r="F890" s="30"/>
      <c r="J890" s="28"/>
      <c r="L890" s="28"/>
    </row>
    <row r="891" spans="4:12" ht="15" customHeight="1">
      <c r="D891" s="28"/>
      <c r="F891" s="30"/>
      <c r="J891" s="28"/>
      <c r="L891" s="28"/>
    </row>
    <row r="892" spans="4:12" ht="15" customHeight="1">
      <c r="D892" s="28"/>
      <c r="F892" s="30"/>
      <c r="J892" s="28"/>
      <c r="L892" s="28"/>
    </row>
    <row r="893" spans="4:12" ht="15" customHeight="1">
      <c r="D893" s="28"/>
      <c r="F893" s="30"/>
      <c r="J893" s="28"/>
      <c r="L893" s="28"/>
    </row>
    <row r="894" spans="4:12" ht="15" customHeight="1">
      <c r="D894" s="28"/>
      <c r="F894" s="30"/>
      <c r="J894" s="28"/>
      <c r="L894" s="28"/>
    </row>
    <row r="895" spans="4:12" ht="15" customHeight="1">
      <c r="D895" s="28"/>
      <c r="F895" s="30"/>
      <c r="J895" s="28"/>
      <c r="L895" s="28"/>
    </row>
    <row r="896" spans="4:12" ht="15" customHeight="1">
      <c r="D896" s="28"/>
      <c r="F896" s="30"/>
      <c r="J896" s="28"/>
      <c r="L896" s="28"/>
    </row>
    <row r="897" spans="4:12" ht="15" customHeight="1">
      <c r="D897" s="28"/>
      <c r="F897" s="30"/>
      <c r="J897" s="28"/>
      <c r="L897" s="28"/>
    </row>
    <row r="898" spans="4:12" ht="15" customHeight="1">
      <c r="D898" s="28"/>
      <c r="F898" s="30"/>
      <c r="J898" s="28"/>
      <c r="L898" s="28"/>
    </row>
    <row r="899" spans="4:12" ht="15" customHeight="1">
      <c r="D899" s="28"/>
      <c r="F899" s="30"/>
      <c r="J899" s="28"/>
      <c r="L899" s="28"/>
    </row>
    <row r="900" spans="4:12" ht="15" customHeight="1">
      <c r="D900" s="28"/>
      <c r="F900" s="30"/>
      <c r="J900" s="28"/>
      <c r="L900" s="28"/>
    </row>
    <row r="901" spans="4:12" ht="15" customHeight="1">
      <c r="D901" s="28"/>
      <c r="F901" s="30"/>
      <c r="J901" s="28"/>
      <c r="L901" s="28"/>
    </row>
    <row r="902" spans="4:12" ht="15" customHeight="1">
      <c r="D902" s="28"/>
      <c r="F902" s="30"/>
      <c r="J902" s="28"/>
      <c r="L902" s="28"/>
    </row>
    <row r="903" spans="4:12" ht="15" customHeight="1">
      <c r="D903" s="28"/>
      <c r="F903" s="30"/>
      <c r="J903" s="28"/>
      <c r="L903" s="28"/>
    </row>
    <row r="904" spans="4:12" ht="15" customHeight="1">
      <c r="D904" s="28"/>
      <c r="F904" s="30"/>
      <c r="J904" s="28"/>
      <c r="L904" s="28"/>
    </row>
    <row r="905" spans="4:12" ht="15" customHeight="1">
      <c r="D905" s="28"/>
      <c r="F905" s="30"/>
      <c r="J905" s="28"/>
      <c r="L905" s="28"/>
    </row>
    <row r="906" spans="4:12" ht="15" customHeight="1">
      <c r="D906" s="28"/>
      <c r="F906" s="30"/>
      <c r="J906" s="28"/>
      <c r="L906" s="28"/>
    </row>
    <row r="907" spans="4:12" ht="15" customHeight="1">
      <c r="D907" s="28"/>
      <c r="F907" s="30"/>
      <c r="J907" s="28"/>
      <c r="L907" s="28"/>
    </row>
    <row r="908" spans="4:12" ht="15" customHeight="1">
      <c r="D908" s="28"/>
      <c r="F908" s="30"/>
    </row>
    <row r="909" spans="4:12" ht="15" customHeight="1">
      <c r="F909" s="30"/>
    </row>
    <row r="910" spans="4:12" ht="15" customHeight="1">
      <c r="F910" s="30"/>
    </row>
    <row r="911" spans="4:12" ht="15" customHeight="1">
      <c r="F911" s="30"/>
    </row>
    <row r="912" spans="4:12" ht="15" customHeight="1">
      <c r="F912" s="30"/>
    </row>
    <row r="913" spans="6:6" ht="15" customHeight="1">
      <c r="F913" s="30"/>
    </row>
    <row r="914" spans="6:6" ht="15" customHeight="1">
      <c r="F914" s="30"/>
    </row>
    <row r="915" spans="6:6" ht="15" customHeight="1">
      <c r="F915" s="30"/>
    </row>
    <row r="916" spans="6:6" ht="15" customHeight="1">
      <c r="F916" s="30"/>
    </row>
    <row r="917" spans="6:6" ht="15" customHeight="1">
      <c r="F917" s="30"/>
    </row>
  </sheetData>
  <phoneticPr fontId="16" type="noConversion"/>
  <conditionalFormatting sqref="D2:D718">
    <cfRule type="expression" dxfId="8" priority="1">
      <formula>AND(D2&gt;=TODAY(), D2&lt;=TODAY()+7)</formula>
    </cfRule>
    <cfRule type="expression" dxfId="7" priority="2">
      <formula>AND(D2&gt;=TODAY()-30, D2&lt;=TODAY()-1, G2&lt;&gt;"Доставено")</formula>
    </cfRule>
    <cfRule type="expression" dxfId="6" priority="7">
      <formula>AND(D2=TODAY(), G2&lt;&gt;"Доставено")</formula>
    </cfRule>
  </conditionalFormatting>
  <hyperlinks>
    <hyperlink ref="S348" r:id="rId1" xr:uid="{B0BAB3ED-1C3A-4BF9-B17E-CF3B64287DFE}"/>
    <hyperlink ref="S349" r:id="rId2" xr:uid="{ACBF0E4E-658F-4F47-9ACC-035CE43BDD3E}"/>
    <hyperlink ref="S343" r:id="rId3" xr:uid="{CEE1A5A1-4602-452B-945B-18D622DA3EBE}"/>
  </hyperlinks>
  <pageMargins left="0.7" right="0.7" top="0.75" bottom="0.75" header="0.3" footer="0.3"/>
  <pageSetup paperSize="9" orientation="portrait" horizontalDpi="4294967293" verticalDpi="1200" r:id="rId4"/>
  <legacyDrawing r:id="rId5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84D9FD-2806-BA4B-9534-097F902F0DCD}">
          <x14:formula1>
            <xm:f>Reference!$A$2:$A$10</xm:f>
          </x14:formula1>
          <xm:sqref>G2:G480</xm:sqref>
        </x14:dataValidation>
        <x14:dataValidation type="list" allowBlank="1" showInputMessage="1" showErrorMessage="1" xr:uid="{E56C6BC2-6AF3-6D4D-8044-F337692F1CCD}">
          <x14:formula1>
            <xm:f>Reference!$C$2:$C$327</xm:f>
          </x14:formula1>
          <xm:sqref>I2:I480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F1E9-E662-44B1-BFB8-8F66444BF738}">
  <sheetPr>
    <pageSetUpPr fitToPage="1"/>
  </sheetPr>
  <dimension ref="A1:U1129"/>
  <sheetViews>
    <sheetView showGridLines="0" zoomScale="115" zoomScaleNormal="115" workbookViewId="0">
      <pane ySplit="3" topLeftCell="A432" activePane="bottomLeft" state="frozen"/>
      <selection activeCell="G66" sqref="G66"/>
      <selection pane="bottomLeft" activeCell="R457" sqref="R457"/>
    </sheetView>
  </sheetViews>
  <sheetFormatPr defaultColWidth="8.85546875" defaultRowHeight="15" customHeight="1"/>
  <cols>
    <col min="1" max="1" width="72.28515625" customWidth="1"/>
    <col min="2" max="2" width="11.42578125" customWidth="1"/>
    <col min="3" max="3" width="13.42578125" customWidth="1"/>
    <col min="4" max="4" width="11.42578125" customWidth="1"/>
    <col min="5" max="5" width="14.42578125" customWidth="1"/>
    <col min="6" max="6" width="18.42578125" customWidth="1"/>
    <col min="7" max="7" width="12.85546875" customWidth="1"/>
    <col min="8" max="8" width="21.7109375" customWidth="1"/>
    <col min="9" max="9" width="18.85546875" customWidth="1"/>
    <col min="10" max="10" width="12" customWidth="1"/>
    <col min="11" max="11" width="18.28515625" customWidth="1"/>
    <col min="12" max="12" width="11.28515625" customWidth="1"/>
    <col min="13" max="13" width="16" customWidth="1"/>
    <col min="14" max="15" width="10.28515625" customWidth="1"/>
    <col min="16" max="16" width="12.42578125" customWidth="1"/>
    <col min="17" max="18" width="17.42578125" customWidth="1"/>
    <col min="19" max="19" width="21.140625" customWidth="1"/>
  </cols>
  <sheetData>
    <row r="1" spans="1:21" s="14" customFormat="1" ht="24.95" customHeight="1">
      <c r="E1" s="26" t="s">
        <v>1180</v>
      </c>
      <c r="F1" s="34">
        <f ca="1">TODAY()</f>
        <v>46076</v>
      </c>
    </row>
    <row r="2" spans="1:21" s="14" customFormat="1" ht="6.75" customHeight="1"/>
    <row r="3" spans="1:21" s="22" customFormat="1" ht="47.25" customHeight="1">
      <c r="A3" s="21" t="s">
        <v>0</v>
      </c>
      <c r="B3" s="21" t="s">
        <v>1</v>
      </c>
      <c r="C3" s="21" t="s">
        <v>2</v>
      </c>
      <c r="D3" s="21" t="s">
        <v>3</v>
      </c>
      <c r="E3" s="21" t="s">
        <v>4</v>
      </c>
      <c r="F3" s="21" t="s">
        <v>6</v>
      </c>
      <c r="G3" s="21" t="s">
        <v>8</v>
      </c>
      <c r="H3" s="21" t="s">
        <v>591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16</v>
      </c>
      <c r="Q3" s="21" t="s">
        <v>17</v>
      </c>
      <c r="R3" s="21" t="s">
        <v>593</v>
      </c>
      <c r="S3" s="66" t="s">
        <v>19</v>
      </c>
      <c r="U3" s="23"/>
    </row>
    <row r="4" spans="1:21">
      <c r="A4" s="2" t="s">
        <v>1181</v>
      </c>
      <c r="B4" s="2">
        <v>1</v>
      </c>
      <c r="C4" s="2">
        <f>Wet_Wipes[[#This Row],[Желано количество]]</f>
        <v>1</v>
      </c>
      <c r="D4" s="31">
        <v>45808</v>
      </c>
      <c r="E4" s="2" t="s">
        <v>1182</v>
      </c>
      <c r="F4" s="32">
        <v>45736.532372685186</v>
      </c>
      <c r="G4" s="20" t="s">
        <v>1183</v>
      </c>
      <c r="H4" s="2" t="s">
        <v>22</v>
      </c>
      <c r="I4" s="2" t="s">
        <v>1184</v>
      </c>
      <c r="J4" s="31"/>
      <c r="K4" s="2"/>
      <c r="L4" s="31"/>
      <c r="M4" s="2"/>
      <c r="N4" s="2">
        <v>6027.23</v>
      </c>
      <c r="O4" s="2">
        <f>Wet_Wipes[[#This Row],[Цена за 1 бр. в BGN]]*Wet_Wipes[[#This Row],[Поръчано Количество]]</f>
        <v>6027.23</v>
      </c>
      <c r="P4" s="2"/>
      <c r="Q4" s="2"/>
      <c r="R4" s="2" t="str" cm="1">
        <f t="array" ref="R4">_xlfn.SWITCH(S4,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" s="67"/>
    </row>
    <row r="5" spans="1:21">
      <c r="A5" s="2" t="s">
        <v>1185</v>
      </c>
      <c r="B5" s="2">
        <v>1</v>
      </c>
      <c r="C5" s="2">
        <f>Wet_Wipes[[#This Row],[Желано количество]]</f>
        <v>1</v>
      </c>
      <c r="D5" s="31">
        <v>45808</v>
      </c>
      <c r="E5" s="2" t="s">
        <v>1186</v>
      </c>
      <c r="F5" s="32">
        <v>45736.536562499998</v>
      </c>
      <c r="G5" s="20" t="s">
        <v>1183</v>
      </c>
      <c r="H5" s="2" t="s">
        <v>22</v>
      </c>
      <c r="I5" s="2" t="s">
        <v>1184</v>
      </c>
      <c r="J5" s="31"/>
      <c r="K5" s="2"/>
      <c r="L5" s="31"/>
      <c r="M5" s="2"/>
      <c r="N5" s="2">
        <v>4758.04</v>
      </c>
      <c r="O5" s="2">
        <f>Wet_Wipes[[#This Row],[Цена за 1 бр. в BGN]]*Wet_Wipes[[#This Row],[Поръчано Количество]]</f>
        <v>4758.04</v>
      </c>
      <c r="P5" s="2"/>
      <c r="Q5" s="2"/>
      <c r="R5" s="2" t="str" cm="1">
        <f t="array" ref="R5">_xlfn.SWITCH(S5,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" spans="1:21">
      <c r="A6" s="2" t="s">
        <v>1187</v>
      </c>
      <c r="B6" s="2">
        <v>10</v>
      </c>
      <c r="C6" s="2">
        <v>10</v>
      </c>
      <c r="D6" s="31">
        <v>45730</v>
      </c>
      <c r="E6" s="2" t="s">
        <v>1188</v>
      </c>
      <c r="F6" s="32">
        <v>45717.500439814816</v>
      </c>
      <c r="G6" s="20" t="s">
        <v>1189</v>
      </c>
      <c r="H6" s="2" t="s">
        <v>22</v>
      </c>
      <c r="I6" s="2" t="s">
        <v>1190</v>
      </c>
      <c r="J6" s="31">
        <v>45756</v>
      </c>
      <c r="K6" s="2"/>
      <c r="L6" s="31">
        <v>45757</v>
      </c>
      <c r="M6" s="2">
        <v>10</v>
      </c>
      <c r="N6" s="2">
        <v>21.58334</v>
      </c>
      <c r="O6" s="35">
        <f>Wet_Wipes[[#This Row],[Цена за 1 бр. в BGN]]*Wet_Wipes[[#This Row],[Поръчано Количество]]</f>
        <v>215.83339999999998</v>
      </c>
      <c r="P6" s="2"/>
      <c r="Q6" s="2"/>
      <c r="R6" s="2" t="str" cm="1">
        <f t="array" ref="R6">_xlfn.SWITCH(S6,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" spans="1:21">
      <c r="A7" s="2" t="s">
        <v>1191</v>
      </c>
      <c r="B7" s="2">
        <v>2</v>
      </c>
      <c r="C7" s="2">
        <v>1</v>
      </c>
      <c r="D7" s="31">
        <v>45723</v>
      </c>
      <c r="E7" s="2" t="s">
        <v>1192</v>
      </c>
      <c r="F7" s="32">
        <v>45717.502071759256</v>
      </c>
      <c r="G7" s="20" t="s">
        <v>1193</v>
      </c>
      <c r="H7" s="2" t="s">
        <v>22</v>
      </c>
      <c r="I7" s="2" t="s">
        <v>1194</v>
      </c>
      <c r="J7" s="31">
        <v>45752</v>
      </c>
      <c r="K7" s="2"/>
      <c r="L7" s="31"/>
      <c r="M7" s="2"/>
      <c r="N7" s="2">
        <v>159</v>
      </c>
      <c r="O7" s="2">
        <f>Wet_Wipes[[#This Row],[Цена за 1 бр. в BGN]]*Wet_Wipes[[#This Row],[Поръчано Количество]]</f>
        <v>159</v>
      </c>
      <c r="P7" s="2"/>
      <c r="Q7" s="2"/>
      <c r="R7" s="2" t="str" cm="1">
        <f t="array" ref="R7">_xlfn.SWITCH(S7,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" spans="1:21">
      <c r="A8" s="2" t="s">
        <v>1195</v>
      </c>
      <c r="B8" s="2">
        <v>1</v>
      </c>
      <c r="C8" s="2">
        <v>1</v>
      </c>
      <c r="D8" s="31">
        <v>45723</v>
      </c>
      <c r="E8" s="2" t="s">
        <v>63</v>
      </c>
      <c r="F8" s="32">
        <v>45717.502939814818</v>
      </c>
      <c r="G8" s="2" t="s">
        <v>174</v>
      </c>
      <c r="H8" s="2" t="s">
        <v>22</v>
      </c>
      <c r="I8" s="2" t="s">
        <v>58</v>
      </c>
      <c r="J8" s="46">
        <v>45692</v>
      </c>
      <c r="K8" s="2"/>
      <c r="L8" s="31"/>
      <c r="M8" s="2"/>
      <c r="N8" s="2">
        <v>1.1100000000000001</v>
      </c>
      <c r="O8" s="2">
        <f>Wet_Wipes[[#This Row],[Цена за 1 бр. в BGN]]*Wet_Wipes[[#This Row],[Поръчано Количество]]</f>
        <v>1.1100000000000001</v>
      </c>
      <c r="P8" s="2"/>
      <c r="Q8" s="2"/>
      <c r="R8" s="2" t="str" cm="1">
        <f t="array" ref="R8">_xlfn.SWITCH(S8,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" spans="1:21">
      <c r="A9" s="2" t="s">
        <v>1196</v>
      </c>
      <c r="B9" s="2">
        <v>1</v>
      </c>
      <c r="C9" s="2">
        <f>Wet_Wipes[[#This Row],[Желано количество]]</f>
        <v>1</v>
      </c>
      <c r="D9" s="31">
        <v>45808</v>
      </c>
      <c r="E9" s="2" t="s">
        <v>1186</v>
      </c>
      <c r="F9" s="32">
        <v>45736.540219907409</v>
      </c>
      <c r="G9" s="20" t="s">
        <v>1183</v>
      </c>
      <c r="H9" s="2" t="s">
        <v>22</v>
      </c>
      <c r="I9" s="2" t="s">
        <v>1184</v>
      </c>
      <c r="J9" s="31"/>
      <c r="K9" s="2"/>
      <c r="L9" s="31"/>
      <c r="M9" s="2"/>
      <c r="N9" s="2"/>
      <c r="O9" s="2">
        <f>Wet_Wipes[[#This Row],[Цена за 1 бр. в BGN]]*Wet_Wipes[[#This Row],[Поръчано Количество]]</f>
        <v>0</v>
      </c>
      <c r="P9" s="2"/>
      <c r="Q9" s="2"/>
      <c r="R9" s="2" t="str" cm="1">
        <f t="array" ref="R9">_xlfn.SWITCH(S9,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" spans="1:21">
      <c r="A10" s="2" t="s">
        <v>1197</v>
      </c>
      <c r="B10" s="2">
        <v>1</v>
      </c>
      <c r="C10" s="2">
        <f>Wet_Wipes[[#This Row],[Желано количество]]</f>
        <v>1</v>
      </c>
      <c r="D10" s="31">
        <v>45808</v>
      </c>
      <c r="E10" s="2" t="s">
        <v>1188</v>
      </c>
      <c r="F10" s="32">
        <v>45749.325324074074</v>
      </c>
      <c r="G10" s="20"/>
      <c r="H10" s="2"/>
      <c r="I10" s="2"/>
      <c r="J10" s="31"/>
      <c r="K10" s="2"/>
      <c r="L10" s="31"/>
      <c r="M10" s="2"/>
      <c r="N10" s="2"/>
      <c r="O10" s="2">
        <f>Wet_Wipes[[#This Row],[Цена за 1 бр. в BGN]]*Wet_Wipes[[#This Row],[Поръчано Количество]]</f>
        <v>0</v>
      </c>
      <c r="P10" s="2"/>
      <c r="Q10" s="2"/>
      <c r="R10" s="2" t="str" cm="1">
        <f t="array" ref="R10">_xlfn.SWITCH(S10,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" spans="1:21">
      <c r="A11" s="2" t="s">
        <v>1198</v>
      </c>
      <c r="B11" s="2">
        <v>3</v>
      </c>
      <c r="C11" s="2"/>
      <c r="D11" s="31">
        <v>45723</v>
      </c>
      <c r="E11" s="2" t="s">
        <v>1188</v>
      </c>
      <c r="F11" s="32">
        <v>45717.506782407407</v>
      </c>
      <c r="G11" s="2" t="s">
        <v>1199</v>
      </c>
      <c r="H11" s="2" t="s">
        <v>22</v>
      </c>
      <c r="I11" s="2" t="s">
        <v>1200</v>
      </c>
      <c r="J11" s="31">
        <v>45786</v>
      </c>
      <c r="K11" s="2" t="s">
        <v>1201</v>
      </c>
      <c r="L11" s="51">
        <v>45843</v>
      </c>
      <c r="M11" s="50"/>
      <c r="N11" s="50">
        <v>79.933546000000007</v>
      </c>
      <c r="O11" s="2">
        <f>Wet_Wipes[[#This Row],[Цена за 1 бр. в BGN]]*Wet_Wipes[[#This Row],[Поръчано Количество]]</f>
        <v>0</v>
      </c>
      <c r="P11" s="2"/>
      <c r="Q11" s="2"/>
      <c r="R11" s="2" t="str" cm="1">
        <f t="array" ref="R11">_xlfn.SWITCH(S11,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" spans="1:21">
      <c r="A12" s="2" t="s">
        <v>1202</v>
      </c>
      <c r="B12" s="2">
        <v>5</v>
      </c>
      <c r="C12" s="2"/>
      <c r="D12" s="31">
        <v>45723</v>
      </c>
      <c r="E12" s="2" t="s">
        <v>1188</v>
      </c>
      <c r="F12" s="32">
        <v>45717.50880787037</v>
      </c>
      <c r="G12" s="2" t="s">
        <v>1199</v>
      </c>
      <c r="H12" s="2" t="s">
        <v>22</v>
      </c>
      <c r="I12" s="2" t="s">
        <v>1200</v>
      </c>
      <c r="J12" s="31">
        <v>45786</v>
      </c>
      <c r="K12" s="2" t="s">
        <v>1201</v>
      </c>
      <c r="L12" s="53">
        <v>45843</v>
      </c>
      <c r="M12" s="52"/>
      <c r="N12" s="52">
        <v>88.519508000000002</v>
      </c>
      <c r="O12" s="2">
        <f>Wet_Wipes[[#This Row],[Цена за 1 бр. в BGN]]*Wet_Wipes[[#This Row],[Поръчано Количество]]</f>
        <v>0</v>
      </c>
      <c r="P12" s="2"/>
      <c r="Q12" s="2"/>
      <c r="R12" s="2" t="str" cm="1">
        <f t="array" ref="R12">_xlfn.SWITCH(S12,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" spans="1:21">
      <c r="A13" s="2" t="s">
        <v>1203</v>
      </c>
      <c r="B13" s="2">
        <v>20</v>
      </c>
      <c r="C13" s="2">
        <v>20</v>
      </c>
      <c r="D13" s="31">
        <v>45723</v>
      </c>
      <c r="E13" s="2" t="s">
        <v>1188</v>
      </c>
      <c r="F13" s="32">
        <v>45717.511631944442</v>
      </c>
      <c r="G13" s="1" t="s">
        <v>111</v>
      </c>
      <c r="H13" s="2" t="s">
        <v>22</v>
      </c>
      <c r="I13" s="2" t="s">
        <v>112</v>
      </c>
      <c r="J13" s="31">
        <v>45755</v>
      </c>
      <c r="K13" s="2"/>
      <c r="L13" s="31">
        <v>45755</v>
      </c>
      <c r="M13" s="2">
        <v>20</v>
      </c>
      <c r="N13" s="2">
        <v>2.3199999999999998</v>
      </c>
      <c r="O13" s="2">
        <f>Wet_Wipes[[#This Row],[Цена за 1 бр. в BGN]]*Wet_Wipes[[#This Row],[Поръчано Количество]]</f>
        <v>46.4</v>
      </c>
      <c r="P13" s="2"/>
      <c r="Q13" s="2"/>
      <c r="R13" s="2" t="str" cm="1">
        <f t="array" ref="R13">_xlfn.SWITCH(S13,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" spans="1:21">
      <c r="A14" s="2" t="s">
        <v>1204</v>
      </c>
      <c r="B14" s="2">
        <v>100</v>
      </c>
      <c r="C14" s="2">
        <f>Wet_Wipes[[#This Row],[Желано количество]]</f>
        <v>100</v>
      </c>
      <c r="D14" s="31">
        <v>45808</v>
      </c>
      <c r="E14" s="2" t="s">
        <v>1188</v>
      </c>
      <c r="F14" s="32">
        <v>45769.233576388891</v>
      </c>
      <c r="G14" s="2">
        <v>177751</v>
      </c>
      <c r="H14" s="2" t="s">
        <v>22</v>
      </c>
      <c r="I14" s="2" t="s">
        <v>58</v>
      </c>
      <c r="J14" s="31" t="s">
        <v>1205</v>
      </c>
      <c r="K14" s="2"/>
      <c r="L14" s="31">
        <v>45835</v>
      </c>
      <c r="M14" s="2">
        <v>100</v>
      </c>
      <c r="N14" s="2">
        <f>4.31/100</f>
        <v>4.3099999999999999E-2</v>
      </c>
      <c r="O14" s="2">
        <f>Wet_Wipes[[#This Row],[Цена за 1 бр. в BGN]]*Wet_Wipes[[#This Row],[Поръчано Количество]]</f>
        <v>4.3099999999999996</v>
      </c>
      <c r="P14" s="2"/>
      <c r="Q14" s="2" t="s">
        <v>1206</v>
      </c>
      <c r="R14" s="2" t="str" cm="1">
        <f t="array" ref="R14">_xlfn.SWITCH(S14,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" spans="1:21">
      <c r="A15" s="2" t="s">
        <v>1207</v>
      </c>
      <c r="B15" s="2">
        <v>2</v>
      </c>
      <c r="C15" s="2">
        <f>Wet_Wipes[[#This Row],[Желано количество]]</f>
        <v>2</v>
      </c>
      <c r="D15" s="31">
        <v>45808</v>
      </c>
      <c r="E15" s="2" t="s">
        <v>1208</v>
      </c>
      <c r="F15" s="32">
        <v>45769.234166666669</v>
      </c>
      <c r="G15" s="20"/>
      <c r="H15" s="2" t="s">
        <v>30</v>
      </c>
      <c r="I15" s="2"/>
      <c r="J15" s="31"/>
      <c r="K15" s="2"/>
      <c r="L15" s="31"/>
      <c r="M15" s="2"/>
      <c r="N15" s="2"/>
      <c r="O15" s="2">
        <f>Wet_Wipes[[#This Row],[Цена за 1 бр. в BGN]]*Wet_Wipes[[#This Row],[Поръчано Количество]]</f>
        <v>0</v>
      </c>
      <c r="P15" s="2"/>
      <c r="Q15" s="2"/>
      <c r="R15" s="2" t="str" cm="1">
        <f t="array" ref="R15">_xlfn.SWITCH(S15,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" spans="1:21">
      <c r="A16" s="2" t="s">
        <v>1209</v>
      </c>
      <c r="B16" s="2">
        <v>4</v>
      </c>
      <c r="C16" s="2">
        <f>Wet_Wipes[[#This Row],[Желано количество]]</f>
        <v>4</v>
      </c>
      <c r="D16" s="31">
        <v>45808</v>
      </c>
      <c r="E16" s="2" t="s">
        <v>1186</v>
      </c>
      <c r="F16" s="32">
        <v>45769.2419212963</v>
      </c>
      <c r="G16" s="20" t="s">
        <v>257</v>
      </c>
      <c r="H16" s="2" t="s">
        <v>22</v>
      </c>
      <c r="I16" s="2" t="s">
        <v>101</v>
      </c>
      <c r="J16" s="31"/>
      <c r="K16" s="2"/>
      <c r="L16" s="31">
        <v>45832</v>
      </c>
      <c r="M16" s="2">
        <v>4</v>
      </c>
      <c r="N16" s="2">
        <v>148.69999999999999</v>
      </c>
      <c r="O16" s="2">
        <f>Wet_Wipes[[#This Row],[Цена за 1 бр. в BGN]]*Wet_Wipes[[#This Row],[Поръчано Количество]]</f>
        <v>594.79999999999995</v>
      </c>
      <c r="P16" s="2"/>
      <c r="Q16" s="2"/>
      <c r="R16" s="2" t="str" cm="1">
        <f t="array" ref="R16">_xlfn.SWITCH(S16,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" spans="1:18">
      <c r="A17" t="s">
        <v>1210</v>
      </c>
      <c r="B17">
        <v>1</v>
      </c>
      <c r="C17" s="2">
        <f>Wet_Wipes[[#This Row],[Желано количество]]</f>
        <v>1</v>
      </c>
      <c r="D17" s="28">
        <v>45808</v>
      </c>
      <c r="E17" t="s">
        <v>63</v>
      </c>
      <c r="F17" s="30">
        <v>45770.373206018521</v>
      </c>
      <c r="G17" s="20"/>
      <c r="H17" t="s">
        <v>22</v>
      </c>
      <c r="I17" s="2"/>
      <c r="J17" s="28"/>
      <c r="L17" s="28"/>
      <c r="O17" s="2">
        <f>Wet_Wipes[[#This Row],[Цена за 1 бр. в BGN]]*Wet_Wipes[[#This Row],[Поръчано Количество]]</f>
        <v>0</v>
      </c>
      <c r="R17" t="str" cm="1">
        <f t="array" ref="R17">_xlfn.SWITCH(S17,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" spans="1:18">
      <c r="A18" t="s">
        <v>1211</v>
      </c>
      <c r="B18">
        <v>2</v>
      </c>
      <c r="C18" s="2">
        <f>Wet_Wipes[[#This Row],[Желано количество]]</f>
        <v>2</v>
      </c>
      <c r="D18" s="28">
        <v>45808</v>
      </c>
      <c r="E18" t="s">
        <v>1212</v>
      </c>
      <c r="F18" s="30">
        <v>45771.324652777781</v>
      </c>
      <c r="G18" s="20"/>
      <c r="I18" s="2"/>
      <c r="J18" s="28"/>
      <c r="L18" s="28"/>
      <c r="O18" s="2">
        <f>Wet_Wipes[[#This Row],[Цена за 1 бр. в BGN]]*Wet_Wipes[[#This Row],[Поръчано Количество]]</f>
        <v>0</v>
      </c>
      <c r="R18" t="str" cm="1">
        <f t="array" ref="R18">_xlfn.SWITCH(S18,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" spans="1:18">
      <c r="A19" t="s">
        <v>1213</v>
      </c>
      <c r="B19">
        <v>1</v>
      </c>
      <c r="C19" s="2">
        <f>Wet_Wipes[[#This Row],[Желано количество]]</f>
        <v>1</v>
      </c>
      <c r="D19" s="28">
        <v>45808</v>
      </c>
      <c r="E19" t="s">
        <v>63</v>
      </c>
      <c r="F19" s="30">
        <v>45771.325509259259</v>
      </c>
      <c r="G19" s="20"/>
      <c r="I19" s="2"/>
      <c r="J19" s="28"/>
      <c r="L19" s="28"/>
      <c r="O19" s="2">
        <f>Wet_Wipes[[#This Row],[Цена за 1 бр. в BGN]]*Wet_Wipes[[#This Row],[Поръчано Количество]]</f>
        <v>0</v>
      </c>
      <c r="R19" t="str" cm="1">
        <f t="array" ref="R19">_xlfn.SWITCH(S19,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" spans="1:18">
      <c r="A20" t="s">
        <v>1214</v>
      </c>
      <c r="B20">
        <v>1</v>
      </c>
      <c r="C20" s="2">
        <f>Wet_Wipes[[#This Row],[Желано количество]]</f>
        <v>1</v>
      </c>
      <c r="D20" s="28">
        <v>45808</v>
      </c>
      <c r="E20" t="s">
        <v>1215</v>
      </c>
      <c r="F20" s="30">
        <v>45771.329201388886</v>
      </c>
      <c r="G20" s="20" t="s">
        <v>1216</v>
      </c>
      <c r="H20" t="s">
        <v>22</v>
      </c>
      <c r="I20" t="s">
        <v>104</v>
      </c>
      <c r="J20" s="28">
        <v>45856</v>
      </c>
      <c r="K20" t="s">
        <v>1217</v>
      </c>
      <c r="L20" s="28"/>
      <c r="N20">
        <v>203.2</v>
      </c>
      <c r="O20" s="2">
        <f>Wet_Wipes[[#This Row],[Цена за 1 бр. в BGN]]*Wet_Wipes[[#This Row],[Поръчано Количество]]</f>
        <v>203.2</v>
      </c>
      <c r="R20" t="str" cm="1">
        <f t="array" ref="R20">_xlfn.SWITCH(S20,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" spans="1:18">
      <c r="A21" s="2" t="s">
        <v>1218</v>
      </c>
      <c r="B21" s="2">
        <v>4</v>
      </c>
      <c r="C21" s="2">
        <v>4</v>
      </c>
      <c r="D21" s="31">
        <v>45723</v>
      </c>
      <c r="E21" s="2" t="s">
        <v>1186</v>
      </c>
      <c r="F21" s="32">
        <v>45717.528275462966</v>
      </c>
      <c r="G21" s="2" t="s">
        <v>1219</v>
      </c>
      <c r="H21" s="2" t="s">
        <v>22</v>
      </c>
      <c r="I21" s="2" t="s">
        <v>1220</v>
      </c>
      <c r="J21" s="31"/>
      <c r="K21" s="2"/>
      <c r="L21" s="31"/>
      <c r="M21" s="2"/>
      <c r="N21" s="35">
        <f>1.9558*26.1</f>
        <v>51.046379999999999</v>
      </c>
      <c r="O21" s="35">
        <f>Wet_Wipes[[#This Row],[Цена за 1 бр. в BGN]]*Wet_Wipes[[#This Row],[Поръчано Количество]]</f>
        <v>204.18552</v>
      </c>
      <c r="P21" s="2"/>
      <c r="Q21" s="2"/>
      <c r="R21" s="2" t="str" cm="1">
        <f t="array" ref="R21">_xlfn.SWITCH(S21,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" spans="1:18">
      <c r="A22" s="2" t="s">
        <v>1221</v>
      </c>
      <c r="B22" s="2">
        <v>2</v>
      </c>
      <c r="C22" s="2">
        <v>2</v>
      </c>
      <c r="D22" s="31">
        <v>45723</v>
      </c>
      <c r="E22" s="2" t="s">
        <v>1186</v>
      </c>
      <c r="F22" s="32">
        <v>45717.528865740744</v>
      </c>
      <c r="G22" s="2" t="s">
        <v>1219</v>
      </c>
      <c r="H22" s="2" t="s">
        <v>22</v>
      </c>
      <c r="I22" s="2" t="s">
        <v>1220</v>
      </c>
      <c r="J22" s="31"/>
      <c r="K22" s="2"/>
      <c r="L22" s="31"/>
      <c r="M22" s="2"/>
      <c r="N22" s="35">
        <f>1.9558*297.5</f>
        <v>581.85050000000001</v>
      </c>
      <c r="O22" s="35">
        <f>Wet_Wipes[[#This Row],[Цена за 1 бр. в BGN]]*Wet_Wipes[[#This Row],[Поръчано Количество]]</f>
        <v>1163.701</v>
      </c>
      <c r="P22" s="2"/>
      <c r="Q22" s="2"/>
      <c r="R22" s="2" t="str" cm="1">
        <f t="array" ref="R22">_xlfn.SWITCH(S22,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" spans="1:18">
      <c r="A23" s="2" t="s">
        <v>1222</v>
      </c>
      <c r="B23" s="2">
        <v>10</v>
      </c>
      <c r="C23" s="2">
        <v>10</v>
      </c>
      <c r="D23" s="31">
        <v>45723</v>
      </c>
      <c r="E23" s="2" t="s">
        <v>1186</v>
      </c>
      <c r="F23" s="32">
        <v>45717.529502314814</v>
      </c>
      <c r="G23" s="2" t="s">
        <v>1219</v>
      </c>
      <c r="H23" s="2" t="s">
        <v>22</v>
      </c>
      <c r="I23" s="2" t="s">
        <v>1220</v>
      </c>
      <c r="J23" s="31"/>
      <c r="K23" s="2"/>
      <c r="L23" s="31"/>
      <c r="M23" s="2"/>
      <c r="N23" s="35">
        <f>1.9558*97.3</f>
        <v>190.29934</v>
      </c>
      <c r="O23" s="35">
        <f>Wet_Wipes[[#This Row],[Цена за 1 бр. в BGN]]*Wet_Wipes[[#This Row],[Поръчано Количество]]</f>
        <v>1902.9934000000001</v>
      </c>
      <c r="P23" s="2"/>
      <c r="Q23" s="2"/>
      <c r="R23" s="2" t="str" cm="1">
        <f t="array" ref="R23">_xlfn.SWITCH(S23,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" spans="1:18">
      <c r="A24" s="4" t="s">
        <v>1223</v>
      </c>
      <c r="B24" s="2">
        <v>2</v>
      </c>
      <c r="C24" s="2">
        <v>2</v>
      </c>
      <c r="D24" s="31">
        <v>45723</v>
      </c>
      <c r="E24" s="2" t="s">
        <v>1188</v>
      </c>
      <c r="F24" s="32">
        <v>45717.531712962962</v>
      </c>
      <c r="G24" s="2" t="s">
        <v>1224</v>
      </c>
      <c r="H24" s="2" t="s">
        <v>22</v>
      </c>
      <c r="I24" s="2" t="s">
        <v>1225</v>
      </c>
      <c r="J24" s="31">
        <v>45800</v>
      </c>
      <c r="K24" s="2" t="s">
        <v>1226</v>
      </c>
      <c r="L24" s="31">
        <v>45826</v>
      </c>
      <c r="M24" s="2"/>
      <c r="N24" s="35">
        <f>1.9558*52.5</f>
        <v>102.6795</v>
      </c>
      <c r="O24" s="35">
        <f>Wet_Wipes[[#This Row],[Цена за 1 бр. в BGN]]*Wet_Wipes[[#This Row],[Поръчано Количество]]</f>
        <v>205.35900000000001</v>
      </c>
      <c r="P24" s="2" t="s">
        <v>1227</v>
      </c>
      <c r="Q24" s="2"/>
      <c r="R24" s="2" t="str" cm="1">
        <f t="array" ref="R24">_xlfn.SWITCH(S24,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" spans="1:18">
      <c r="A25" s="4" t="s">
        <v>1228</v>
      </c>
      <c r="B25" s="2">
        <v>4</v>
      </c>
      <c r="C25" s="2">
        <f>Wet_Wipes[[#This Row],[Желано количество]]</f>
        <v>4</v>
      </c>
      <c r="D25" s="31">
        <v>45723</v>
      </c>
      <c r="E25" s="2" t="s">
        <v>1188</v>
      </c>
      <c r="F25" s="32">
        <v>45717.53230324074</v>
      </c>
      <c r="G25" s="2" t="s">
        <v>1224</v>
      </c>
      <c r="H25" s="2" t="s">
        <v>22</v>
      </c>
      <c r="I25" s="2" t="s">
        <v>1225</v>
      </c>
      <c r="J25" s="31">
        <v>45800</v>
      </c>
      <c r="K25" s="2"/>
      <c r="L25" s="31">
        <v>45826</v>
      </c>
      <c r="M25" s="2"/>
      <c r="N25" s="35">
        <f>1.9558*5.5</f>
        <v>10.7569</v>
      </c>
      <c r="O25" s="35">
        <f>Wet_Wipes[[#This Row],[Цена за 1 бр. в BGN]]*Wet_Wipes[[#This Row],[Поръчано Количество]]</f>
        <v>43.0276</v>
      </c>
      <c r="P25" s="2" t="s">
        <v>1227</v>
      </c>
      <c r="Q25" s="2"/>
      <c r="R25" s="2" t="str" cm="1">
        <f t="array" ref="R25">_xlfn.SWITCH(S25,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" spans="1:18">
      <c r="A26" s="4" t="s">
        <v>1229</v>
      </c>
      <c r="B26" s="2">
        <v>4</v>
      </c>
      <c r="C26" s="2">
        <f>Wet_Wipes[[#This Row],[Желано количество]]</f>
        <v>4</v>
      </c>
      <c r="D26" s="31">
        <v>45723</v>
      </c>
      <c r="E26" s="2" t="s">
        <v>1188</v>
      </c>
      <c r="F26" s="32">
        <v>45717.532858796294</v>
      </c>
      <c r="G26" s="2" t="s">
        <v>1224</v>
      </c>
      <c r="H26" s="2" t="s">
        <v>22</v>
      </c>
      <c r="I26" s="2" t="s">
        <v>1225</v>
      </c>
      <c r="J26" s="31">
        <v>45800</v>
      </c>
      <c r="K26" s="2"/>
      <c r="L26" s="31">
        <v>45826</v>
      </c>
      <c r="M26" s="2"/>
      <c r="N26" s="35">
        <f>1.9558*142</f>
        <v>277.72359999999998</v>
      </c>
      <c r="O26" s="35">
        <f>Wet_Wipes[[#This Row],[Цена за 1 бр. в BGN]]*Wet_Wipes[[#This Row],[Поръчано Количество]]</f>
        <v>1110.8943999999999</v>
      </c>
      <c r="P26" s="2" t="s">
        <v>1227</v>
      </c>
      <c r="Q26" s="2"/>
      <c r="R26" s="2" t="str" cm="1">
        <f t="array" ref="R26">_xlfn.SWITCH(S26,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" spans="1:18">
      <c r="A27" s="4" t="s">
        <v>1230</v>
      </c>
      <c r="B27" s="2">
        <v>2</v>
      </c>
      <c r="C27" s="2">
        <f>Wet_Wipes[[#This Row],[Желано количество]]</f>
        <v>2</v>
      </c>
      <c r="D27" s="31">
        <v>45723</v>
      </c>
      <c r="E27" s="2" t="s">
        <v>1188</v>
      </c>
      <c r="F27" s="32">
        <v>45717.533530092594</v>
      </c>
      <c r="G27" s="2" t="s">
        <v>1224</v>
      </c>
      <c r="H27" s="2" t="s">
        <v>22</v>
      </c>
      <c r="I27" s="2" t="s">
        <v>1225</v>
      </c>
      <c r="J27" s="31">
        <v>45800</v>
      </c>
      <c r="K27" s="2"/>
      <c r="L27" s="31">
        <v>45826</v>
      </c>
      <c r="M27" s="2"/>
      <c r="N27" s="35">
        <f>1.9558*132.5</f>
        <v>259.14350000000002</v>
      </c>
      <c r="O27" s="35">
        <f>Wet_Wipes[[#This Row],[Цена за 1 бр. в BGN]]*Wet_Wipes[[#This Row],[Поръчано Количество]]</f>
        <v>518.28700000000003</v>
      </c>
      <c r="P27" s="2" t="s">
        <v>1227</v>
      </c>
      <c r="Q27" s="2"/>
      <c r="R27" s="2" t="str" cm="1">
        <f t="array" ref="R27">_xlfn.SWITCH(S27,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8" spans="1:18">
      <c r="A28" s="4" t="s">
        <v>1231</v>
      </c>
      <c r="B28" s="2">
        <v>2</v>
      </c>
      <c r="C28" s="2">
        <f>Wet_Wipes[[#This Row],[Желано количество]]</f>
        <v>2</v>
      </c>
      <c r="D28" s="31">
        <v>45723</v>
      </c>
      <c r="E28" s="2" t="s">
        <v>1188</v>
      </c>
      <c r="F28" s="32">
        <v>45717.534097222226</v>
      </c>
      <c r="G28" s="2" t="s">
        <v>1224</v>
      </c>
      <c r="H28" s="2" t="s">
        <v>22</v>
      </c>
      <c r="I28" s="2" t="s">
        <v>1225</v>
      </c>
      <c r="J28" s="31">
        <v>45800</v>
      </c>
      <c r="K28" s="2"/>
      <c r="L28" s="31">
        <v>45826</v>
      </c>
      <c r="M28" s="2"/>
      <c r="N28" s="35">
        <f>1.9558*31.5</f>
        <v>61.607700000000001</v>
      </c>
      <c r="O28" s="35">
        <f>Wet_Wipes[[#This Row],[Цена за 1 бр. в BGN]]*Wet_Wipes[[#This Row],[Поръчано Количество]]</f>
        <v>123.2154</v>
      </c>
      <c r="P28" s="2" t="s">
        <v>1227</v>
      </c>
      <c r="Q28" s="2"/>
      <c r="R28" s="2" t="str" cm="1">
        <f t="array" ref="R28">_xlfn.SWITCH(S28,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9" spans="1:18">
      <c r="A29" s="4" t="s">
        <v>1232</v>
      </c>
      <c r="B29" s="2">
        <v>1</v>
      </c>
      <c r="C29" s="2">
        <f>Wet_Wipes[[#This Row],[Желано количество]]</f>
        <v>1</v>
      </c>
      <c r="D29" s="31">
        <v>45723</v>
      </c>
      <c r="E29" s="2" t="s">
        <v>1188</v>
      </c>
      <c r="F29" s="32">
        <v>45717.534444444442</v>
      </c>
      <c r="G29" s="2" t="s">
        <v>1224</v>
      </c>
      <c r="H29" s="2" t="s">
        <v>22</v>
      </c>
      <c r="I29" s="2" t="s">
        <v>1225</v>
      </c>
      <c r="J29" s="31">
        <v>45800</v>
      </c>
      <c r="K29" s="2"/>
      <c r="L29" s="31">
        <v>45826</v>
      </c>
      <c r="M29" s="2"/>
      <c r="N29" s="35">
        <f>1.9558*99.5</f>
        <v>194.60210000000001</v>
      </c>
      <c r="O29" s="35">
        <f>Wet_Wipes[[#This Row],[Цена за 1 бр. в BGN]]*Wet_Wipes[[#This Row],[Поръчано Количество]]</f>
        <v>194.60210000000001</v>
      </c>
      <c r="P29" s="2" t="s">
        <v>1227</v>
      </c>
      <c r="Q29" s="2"/>
      <c r="R29" s="2" t="str" cm="1">
        <f t="array" ref="R29">_xlfn.SWITCH(S29,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0" spans="1:18">
      <c r="A30" s="4" t="s">
        <v>1233</v>
      </c>
      <c r="B30" s="2">
        <v>1</v>
      </c>
      <c r="C30" s="2">
        <f>Wet_Wipes[[#This Row],[Желано количество]]</f>
        <v>1</v>
      </c>
      <c r="D30" s="31">
        <v>45723</v>
      </c>
      <c r="E30" s="2" t="s">
        <v>1188</v>
      </c>
      <c r="F30" s="32">
        <v>45717.534733796296</v>
      </c>
      <c r="G30" s="2" t="s">
        <v>1224</v>
      </c>
      <c r="H30" s="2" t="s">
        <v>22</v>
      </c>
      <c r="I30" s="2" t="s">
        <v>1225</v>
      </c>
      <c r="J30" s="31">
        <v>45800</v>
      </c>
      <c r="K30" s="2"/>
      <c r="L30" s="31">
        <v>45826</v>
      </c>
      <c r="M30" s="2"/>
      <c r="N30" s="35">
        <f>1.9558*99.5</f>
        <v>194.60210000000001</v>
      </c>
      <c r="O30" s="35">
        <f>Wet_Wipes[[#This Row],[Цена за 1 бр. в BGN]]*Wet_Wipes[[#This Row],[Поръчано Количество]]</f>
        <v>194.60210000000001</v>
      </c>
      <c r="P30" s="2" t="s">
        <v>1227</v>
      </c>
      <c r="Q30" s="2"/>
      <c r="R30" s="2" t="str" cm="1">
        <f t="array" ref="R30">_xlfn.SWITCH(S30,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1" spans="1:18">
      <c r="A31" s="2" t="s">
        <v>1234</v>
      </c>
      <c r="B31" s="2">
        <v>1</v>
      </c>
      <c r="C31" s="2">
        <f>Wet_Wipes[[#This Row],[Желано количество]]</f>
        <v>1</v>
      </c>
      <c r="D31" s="31">
        <v>45723</v>
      </c>
      <c r="E31" s="2" t="s">
        <v>1188</v>
      </c>
      <c r="F31" s="32">
        <v>45717.535162037035</v>
      </c>
      <c r="G31" s="2" t="s">
        <v>1224</v>
      </c>
      <c r="H31" s="2" t="s">
        <v>22</v>
      </c>
      <c r="I31" s="2" t="s">
        <v>1225</v>
      </c>
      <c r="J31" s="31">
        <v>45800</v>
      </c>
      <c r="K31" s="2"/>
      <c r="L31" s="31">
        <v>45826</v>
      </c>
      <c r="M31" s="2"/>
      <c r="N31" s="35">
        <f>1.9558*132.5</f>
        <v>259.14350000000002</v>
      </c>
      <c r="O31" s="35">
        <f>Wet_Wipes[[#This Row],[Цена за 1 бр. в BGN]]*Wet_Wipes[[#This Row],[Поръчано Количество]]</f>
        <v>259.14350000000002</v>
      </c>
      <c r="P31" s="2" t="s">
        <v>1227</v>
      </c>
      <c r="Q31" s="2"/>
      <c r="R31" s="2" t="str" cm="1">
        <f t="array" ref="R31">_xlfn.SWITCH(S31,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2" spans="1:18">
      <c r="A32" s="2" t="s">
        <v>1235</v>
      </c>
      <c r="B32" s="2">
        <v>2</v>
      </c>
      <c r="C32" s="2">
        <f>Wet_Wipes[[#This Row],[Желано количество]]</f>
        <v>2</v>
      </c>
      <c r="D32" s="31">
        <v>45723</v>
      </c>
      <c r="E32" s="2" t="s">
        <v>1188</v>
      </c>
      <c r="F32" s="32">
        <v>45717.535671296297</v>
      </c>
      <c r="G32" s="2" t="s">
        <v>1224</v>
      </c>
      <c r="H32" s="2" t="s">
        <v>22</v>
      </c>
      <c r="I32" s="2" t="s">
        <v>1225</v>
      </c>
      <c r="J32" s="31">
        <v>45800</v>
      </c>
      <c r="K32" s="2"/>
      <c r="L32" s="31">
        <v>45826</v>
      </c>
      <c r="M32" s="2"/>
      <c r="N32" s="35">
        <f>1.9558*132.5</f>
        <v>259.14350000000002</v>
      </c>
      <c r="O32" s="35">
        <f>Wet_Wipes[[#This Row],[Цена за 1 бр. в BGN]]*Wet_Wipes[[#This Row],[Поръчано Количество]]</f>
        <v>518.28700000000003</v>
      </c>
      <c r="P32" s="2" t="s">
        <v>1227</v>
      </c>
      <c r="Q32" s="2"/>
      <c r="R32" s="2" t="str" cm="1">
        <f t="array" ref="R32">_xlfn.SWITCH(S32,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3" spans="1:18">
      <c r="A33" s="2" t="s">
        <v>1236</v>
      </c>
      <c r="B33" s="2">
        <v>2</v>
      </c>
      <c r="C33" s="2">
        <f>Wet_Wipes[[#This Row],[Желано количество]]</f>
        <v>2</v>
      </c>
      <c r="D33" s="31">
        <v>45723</v>
      </c>
      <c r="E33" s="2" t="s">
        <v>1188</v>
      </c>
      <c r="F33" s="32">
        <v>45717.536053240743</v>
      </c>
      <c r="G33" s="2" t="s">
        <v>1224</v>
      </c>
      <c r="H33" s="2" t="s">
        <v>22</v>
      </c>
      <c r="I33" s="2" t="s">
        <v>1225</v>
      </c>
      <c r="J33" s="31">
        <v>45800</v>
      </c>
      <c r="K33" s="2"/>
      <c r="L33" s="31">
        <v>45826</v>
      </c>
      <c r="M33" s="2"/>
      <c r="N33" s="35">
        <f>1.9558*58</f>
        <v>113.43639999999999</v>
      </c>
      <c r="O33" s="35">
        <f>Wet_Wipes[[#This Row],[Цена за 1 бр. в BGN]]*Wet_Wipes[[#This Row],[Поръчано Количество]]</f>
        <v>226.87279999999998</v>
      </c>
      <c r="P33" s="2" t="s">
        <v>1227</v>
      </c>
      <c r="Q33" s="2"/>
      <c r="R33" s="2" t="str" cm="1">
        <f t="array" ref="R33">_xlfn.SWITCH(S33,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4" spans="1:18">
      <c r="A34" s="2" t="s">
        <v>1237</v>
      </c>
      <c r="B34" s="2">
        <v>1</v>
      </c>
      <c r="C34" s="2">
        <f>Wet_Wipes[[#This Row],[Желано количество]]</f>
        <v>1</v>
      </c>
      <c r="D34" s="31">
        <v>45723</v>
      </c>
      <c r="E34" s="2" t="s">
        <v>1188</v>
      </c>
      <c r="F34" s="32">
        <v>45717.53638888889</v>
      </c>
      <c r="G34" s="2" t="s">
        <v>1224</v>
      </c>
      <c r="H34" s="2" t="s">
        <v>22</v>
      </c>
      <c r="I34" s="2" t="s">
        <v>1225</v>
      </c>
      <c r="J34" s="31">
        <v>45800</v>
      </c>
      <c r="K34" s="2"/>
      <c r="L34" s="31">
        <v>45826</v>
      </c>
      <c r="M34" s="2"/>
      <c r="N34" s="35">
        <f>1.9558*170</f>
        <v>332.48599999999999</v>
      </c>
      <c r="O34" s="35">
        <f>Wet_Wipes[[#This Row],[Цена за 1 бр. в BGN]]*Wet_Wipes[[#This Row],[Поръчано Количество]]</f>
        <v>332.48599999999999</v>
      </c>
      <c r="P34" s="2" t="s">
        <v>1227</v>
      </c>
      <c r="Q34" s="2"/>
      <c r="R34" s="2" t="str" cm="1">
        <f t="array" ref="R34">_xlfn.SWITCH(S34,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5" spans="1:18">
      <c r="A35" s="2" t="s">
        <v>1238</v>
      </c>
      <c r="B35" s="2">
        <v>1</v>
      </c>
      <c r="C35" s="2">
        <f>Wet_Wipes[[#This Row],[Желано количество]]</f>
        <v>1</v>
      </c>
      <c r="D35" s="31">
        <v>45723</v>
      </c>
      <c r="E35" s="2" t="s">
        <v>1188</v>
      </c>
      <c r="F35" s="32">
        <v>45717.537164351852</v>
      </c>
      <c r="G35" s="2" t="s">
        <v>1224</v>
      </c>
      <c r="H35" s="2" t="s">
        <v>22</v>
      </c>
      <c r="I35" s="2" t="s">
        <v>1225</v>
      </c>
      <c r="J35" s="31">
        <v>45800</v>
      </c>
      <c r="K35" s="2"/>
      <c r="L35" s="31">
        <v>45826</v>
      </c>
      <c r="M35" s="2"/>
      <c r="N35" s="35">
        <f>1.9558*3</f>
        <v>5.8673999999999999</v>
      </c>
      <c r="O35" s="35">
        <f>Wet_Wipes[[#This Row],[Цена за 1 бр. в BGN]]*Wet_Wipes[[#This Row],[Поръчано Количество]]</f>
        <v>5.8673999999999999</v>
      </c>
      <c r="P35" s="2" t="s">
        <v>1227</v>
      </c>
      <c r="Q35" s="2"/>
      <c r="R35" s="2" t="str" cm="1">
        <f t="array" ref="R35">_xlfn.SWITCH(S35,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6" spans="1:18">
      <c r="A36" s="2" t="s">
        <v>1239</v>
      </c>
      <c r="B36" s="2">
        <v>1</v>
      </c>
      <c r="C36" s="2">
        <f>Wet_Wipes[[#This Row],[Желано количество]]</f>
        <v>1</v>
      </c>
      <c r="D36" s="31">
        <v>45723</v>
      </c>
      <c r="E36" s="2" t="s">
        <v>1188</v>
      </c>
      <c r="F36" s="32">
        <v>45717.537361111114</v>
      </c>
      <c r="G36" s="2" t="s">
        <v>1224</v>
      </c>
      <c r="H36" s="2" t="s">
        <v>22</v>
      </c>
      <c r="I36" s="2" t="s">
        <v>1225</v>
      </c>
      <c r="J36" s="31">
        <v>45800</v>
      </c>
      <c r="K36" s="2"/>
      <c r="L36" s="31">
        <v>45826</v>
      </c>
      <c r="M36" s="2"/>
      <c r="N36" s="35">
        <f>1.9558*98</f>
        <v>191.66839999999999</v>
      </c>
      <c r="O36" s="35">
        <f>Wet_Wipes[[#This Row],[Цена за 1 бр. в BGN]]*Wet_Wipes[[#This Row],[Поръчано Количество]]</f>
        <v>191.66839999999999</v>
      </c>
      <c r="P36" s="2" t="s">
        <v>1227</v>
      </c>
      <c r="Q36" s="2"/>
      <c r="R36" s="2" t="str" cm="1">
        <f t="array" ref="R36">_xlfn.SWITCH(S36,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7" spans="1:18">
      <c r="A37" s="2" t="s">
        <v>1240</v>
      </c>
      <c r="B37" s="2">
        <v>1</v>
      </c>
      <c r="C37" s="2">
        <f>Wet_Wipes[[#This Row],[Желано количество]]</f>
        <v>1</v>
      </c>
      <c r="D37" s="31">
        <v>45723</v>
      </c>
      <c r="E37" s="2" t="s">
        <v>1188</v>
      </c>
      <c r="F37" s="32">
        <v>45717.537708333337</v>
      </c>
      <c r="G37" s="2" t="s">
        <v>1224</v>
      </c>
      <c r="H37" s="2" t="s">
        <v>22</v>
      </c>
      <c r="I37" s="2" t="s">
        <v>1225</v>
      </c>
      <c r="J37" s="31">
        <v>45800</v>
      </c>
      <c r="K37" s="2"/>
      <c r="L37" s="31">
        <v>45826</v>
      </c>
      <c r="M37" s="2"/>
      <c r="N37" s="35">
        <f>1.9558*26.5</f>
        <v>51.828699999999998</v>
      </c>
      <c r="O37" s="35">
        <f>Wet_Wipes[[#This Row],[Цена за 1 бр. в BGN]]*Wet_Wipes[[#This Row],[Поръчано Количество]]</f>
        <v>51.828699999999998</v>
      </c>
      <c r="P37" s="2" t="s">
        <v>1227</v>
      </c>
      <c r="Q37" s="2"/>
      <c r="R37" s="2" t="str" cm="1">
        <f t="array" ref="R37">_xlfn.SWITCH(S37,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8" spans="1:18">
      <c r="A38" s="2" t="s">
        <v>1241</v>
      </c>
      <c r="B38" s="2">
        <v>1</v>
      </c>
      <c r="C38" s="2">
        <f>Wet_Wipes[[#This Row],[Желано количество]]</f>
        <v>1</v>
      </c>
      <c r="D38" s="31">
        <v>45723</v>
      </c>
      <c r="E38" s="2" t="s">
        <v>1188</v>
      </c>
      <c r="F38" s="32">
        <v>45717.53802083333</v>
      </c>
      <c r="G38" s="2" t="s">
        <v>1224</v>
      </c>
      <c r="H38" s="2" t="s">
        <v>22</v>
      </c>
      <c r="I38" s="2" t="s">
        <v>1225</v>
      </c>
      <c r="J38" s="31">
        <v>45800</v>
      </c>
      <c r="K38" s="2"/>
      <c r="L38" s="31">
        <v>45826</v>
      </c>
      <c r="M38" s="2"/>
      <c r="N38" s="35">
        <f>1.9558*79</f>
        <v>154.50819999999999</v>
      </c>
      <c r="O38" s="35">
        <f>Wet_Wipes[[#This Row],[Цена за 1 бр. в BGN]]*Wet_Wipes[[#This Row],[Поръчано Количество]]</f>
        <v>154.50819999999999</v>
      </c>
      <c r="P38" s="2" t="s">
        <v>1227</v>
      </c>
      <c r="Q38" s="2"/>
      <c r="R38" s="2" t="str" cm="1">
        <f t="array" ref="R38">_xlfn.SWITCH(S38,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9" spans="1:18">
      <c r="A39" s="2" t="s">
        <v>1242</v>
      </c>
      <c r="B39" s="2">
        <v>1</v>
      </c>
      <c r="C39" s="2">
        <f>Wet_Wipes[[#This Row],[Желано количество]]</f>
        <v>1</v>
      </c>
      <c r="D39" s="31">
        <v>45723</v>
      </c>
      <c r="E39" s="2" t="s">
        <v>1188</v>
      </c>
      <c r="F39" s="32">
        <v>45717.538449074076</v>
      </c>
      <c r="G39" s="2" t="s">
        <v>1224</v>
      </c>
      <c r="H39" s="2" t="s">
        <v>22</v>
      </c>
      <c r="I39" s="2" t="s">
        <v>1225</v>
      </c>
      <c r="J39" s="31">
        <v>45800</v>
      </c>
      <c r="K39" s="2"/>
      <c r="L39" s="31">
        <v>45826</v>
      </c>
      <c r="M39" s="2"/>
      <c r="N39" s="35">
        <f>1.9558*265</f>
        <v>518.28700000000003</v>
      </c>
      <c r="O39" s="35">
        <f>Wet_Wipes[[#This Row],[Цена за 1 бр. в BGN]]*Wet_Wipes[[#This Row],[Поръчано Количество]]</f>
        <v>518.28700000000003</v>
      </c>
      <c r="P39" s="2" t="s">
        <v>1227</v>
      </c>
      <c r="Q39" s="2"/>
      <c r="R39" s="2" t="str" cm="1">
        <f t="array" ref="R39">_xlfn.SWITCH(S39,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0" spans="1:18">
      <c r="A40" s="2" t="s">
        <v>1243</v>
      </c>
      <c r="B40" s="2">
        <v>2</v>
      </c>
      <c r="C40" s="2">
        <f>Wet_Wipes[[#This Row],[Желано количество]]</f>
        <v>2</v>
      </c>
      <c r="D40" s="31">
        <v>45723</v>
      </c>
      <c r="E40" s="2" t="s">
        <v>1188</v>
      </c>
      <c r="F40" s="32">
        <v>45717.538703703707</v>
      </c>
      <c r="G40" s="2" t="s">
        <v>1224</v>
      </c>
      <c r="H40" s="2" t="s">
        <v>22</v>
      </c>
      <c r="I40" s="2" t="s">
        <v>1225</v>
      </c>
      <c r="J40" s="31">
        <v>45800</v>
      </c>
      <c r="K40" s="2"/>
      <c r="L40" s="31">
        <v>45826</v>
      </c>
      <c r="M40" s="2"/>
      <c r="N40" s="35">
        <f>1.9558*21</f>
        <v>41.071799999999996</v>
      </c>
      <c r="O40" s="35">
        <f>Wet_Wipes[[#This Row],[Цена за 1 бр. в BGN]]*Wet_Wipes[[#This Row],[Поръчано Количество]]</f>
        <v>82.143599999999992</v>
      </c>
      <c r="P40" s="2" t="s">
        <v>1227</v>
      </c>
      <c r="Q40" s="2"/>
      <c r="R40" s="2" t="str" cm="1">
        <f t="array" ref="R40">_xlfn.SWITCH(S40,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1" spans="1:18">
      <c r="A41" s="2" t="s">
        <v>1244</v>
      </c>
      <c r="B41" s="2">
        <v>2</v>
      </c>
      <c r="C41" s="2">
        <f>Wet_Wipes[[#This Row],[Желано количество]]</f>
        <v>2</v>
      </c>
      <c r="D41" s="31">
        <v>45723</v>
      </c>
      <c r="E41" s="2" t="s">
        <v>1188</v>
      </c>
      <c r="F41" s="32">
        <v>45717.538981481484</v>
      </c>
      <c r="G41" s="2" t="s">
        <v>1224</v>
      </c>
      <c r="H41" s="2" t="s">
        <v>22</v>
      </c>
      <c r="I41" s="2" t="s">
        <v>1225</v>
      </c>
      <c r="J41" s="31">
        <v>45800</v>
      </c>
      <c r="K41" s="2"/>
      <c r="L41" s="31">
        <v>45826</v>
      </c>
      <c r="M41" s="2"/>
      <c r="N41" s="35">
        <f>1.9558*215.5</f>
        <v>421.47489999999999</v>
      </c>
      <c r="O41" s="35">
        <f>Wet_Wipes[[#This Row],[Цена за 1 бр. в BGN]]*Wet_Wipes[[#This Row],[Поръчано Количество]]</f>
        <v>842.94979999999998</v>
      </c>
      <c r="P41" s="2" t="s">
        <v>1227</v>
      </c>
      <c r="Q41" s="2"/>
      <c r="R41" s="2" t="str" cm="1">
        <f t="array" ref="R41">_xlfn.SWITCH(S41,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2" spans="1:18">
      <c r="A42" s="2" t="s">
        <v>1245</v>
      </c>
      <c r="B42" s="2">
        <v>2</v>
      </c>
      <c r="C42" s="2">
        <f>Wet_Wipes[[#This Row],[Желано количество]]</f>
        <v>2</v>
      </c>
      <c r="D42" s="31">
        <v>45723</v>
      </c>
      <c r="E42" s="2" t="s">
        <v>1188</v>
      </c>
      <c r="F42" s="32">
        <v>45717.539224537039</v>
      </c>
      <c r="G42" s="2" t="s">
        <v>1224</v>
      </c>
      <c r="H42" s="2" t="s">
        <v>22</v>
      </c>
      <c r="I42" s="2" t="s">
        <v>1225</v>
      </c>
      <c r="J42" s="31">
        <v>45800</v>
      </c>
      <c r="K42" s="2"/>
      <c r="L42" s="31">
        <v>45826</v>
      </c>
      <c r="M42" s="2"/>
      <c r="N42" s="35">
        <f>1.9558*21</f>
        <v>41.071799999999996</v>
      </c>
      <c r="O42" s="35">
        <f>Wet_Wipes[[#This Row],[Цена за 1 бр. в BGN]]*Wet_Wipes[[#This Row],[Поръчано Количество]]</f>
        <v>82.143599999999992</v>
      </c>
      <c r="P42" s="2" t="s">
        <v>1227</v>
      </c>
      <c r="Q42" s="2"/>
      <c r="R42" s="2" t="str" cm="1">
        <f t="array" ref="R42">_xlfn.SWITCH(S42,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3" spans="1:18">
      <c r="A43" s="2" t="s">
        <v>1246</v>
      </c>
      <c r="B43" s="2">
        <v>2</v>
      </c>
      <c r="C43" s="2">
        <f>Wet_Wipes[[#This Row],[Желано количество]]</f>
        <v>2</v>
      </c>
      <c r="D43" s="31">
        <v>45723</v>
      </c>
      <c r="E43" s="2" t="s">
        <v>1188</v>
      </c>
      <c r="F43" s="32">
        <v>45717.539571759262</v>
      </c>
      <c r="G43" s="2" t="s">
        <v>1224</v>
      </c>
      <c r="H43" s="2" t="s">
        <v>22</v>
      </c>
      <c r="I43" s="2" t="s">
        <v>1225</v>
      </c>
      <c r="J43" s="31">
        <v>45800</v>
      </c>
      <c r="K43" s="2"/>
      <c r="L43" s="31">
        <v>45826</v>
      </c>
      <c r="M43" s="2"/>
      <c r="N43" s="35">
        <f>1.9558*252</f>
        <v>492.86160000000001</v>
      </c>
      <c r="O43" s="35">
        <f>Wet_Wipes[[#This Row],[Цена за 1 бр. в BGN]]*Wet_Wipes[[#This Row],[Поръчано Количество]]</f>
        <v>985.72320000000002</v>
      </c>
      <c r="P43" s="2" t="s">
        <v>1227</v>
      </c>
      <c r="Q43" s="2"/>
      <c r="R43" s="2" t="str" cm="1">
        <f t="array" ref="R43">_xlfn.SWITCH(S43,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4" spans="1:18">
      <c r="A44" s="2" t="s">
        <v>1247</v>
      </c>
      <c r="B44" s="2">
        <v>2</v>
      </c>
      <c r="C44" s="2">
        <f>Wet_Wipes[[#This Row],[Желано количество]]</f>
        <v>2</v>
      </c>
      <c r="D44" s="31">
        <v>45723</v>
      </c>
      <c r="E44" s="2" t="s">
        <v>1188</v>
      </c>
      <c r="F44" s="32">
        <v>45717.540682870371</v>
      </c>
      <c r="G44" s="2" t="s">
        <v>1224</v>
      </c>
      <c r="H44" s="2" t="s">
        <v>22</v>
      </c>
      <c r="I44" s="2" t="s">
        <v>1225</v>
      </c>
      <c r="J44" s="31">
        <v>45800</v>
      </c>
      <c r="K44" s="2"/>
      <c r="L44" s="31">
        <v>45826</v>
      </c>
      <c r="M44" s="2"/>
      <c r="N44" s="35">
        <f>1.9558*33</f>
        <v>64.541399999999996</v>
      </c>
      <c r="O44" s="35">
        <f>Wet_Wipes[[#This Row],[Цена за 1 бр. в BGN]]*Wet_Wipes[[#This Row],[Поръчано Количество]]</f>
        <v>129.08279999999999</v>
      </c>
      <c r="P44" s="2" t="s">
        <v>1227</v>
      </c>
      <c r="Q44" s="2"/>
      <c r="R44" s="2" t="str" cm="1">
        <f t="array" ref="R44">_xlfn.SWITCH(S44,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5" spans="1:18">
      <c r="A45" s="2" t="s">
        <v>1248</v>
      </c>
      <c r="B45" s="2">
        <v>2</v>
      </c>
      <c r="C45" s="2">
        <f>Wet_Wipes[[#This Row],[Желано количество]]</f>
        <v>2</v>
      </c>
      <c r="D45" s="31">
        <v>45723</v>
      </c>
      <c r="E45" s="2" t="s">
        <v>1188</v>
      </c>
      <c r="F45" s="32">
        <v>45717.54105324074</v>
      </c>
      <c r="G45" s="2" t="s">
        <v>1224</v>
      </c>
      <c r="H45" s="2" t="s">
        <v>22</v>
      </c>
      <c r="I45" s="2" t="s">
        <v>1225</v>
      </c>
      <c r="J45" s="31">
        <v>45800</v>
      </c>
      <c r="K45" s="2"/>
      <c r="L45" s="31">
        <v>45826</v>
      </c>
      <c r="M45" s="2"/>
      <c r="N45" s="35">
        <f>1.9558*21</f>
        <v>41.071799999999996</v>
      </c>
      <c r="O45" s="35">
        <f>Wet_Wipes[[#This Row],[Цена за 1 бр. в BGN]]*Wet_Wipes[[#This Row],[Поръчано Количество]]</f>
        <v>82.143599999999992</v>
      </c>
      <c r="P45" s="2" t="s">
        <v>1227</v>
      </c>
      <c r="Q45" s="2"/>
      <c r="R45" s="2" t="str" cm="1">
        <f t="array" ref="R45">_xlfn.SWITCH(S45,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6" spans="1:18">
      <c r="A46" s="2" t="s">
        <v>1249</v>
      </c>
      <c r="B46" s="2">
        <v>2</v>
      </c>
      <c r="C46" s="2">
        <f>Wet_Wipes[[#This Row],[Желано количество]]</f>
        <v>2</v>
      </c>
      <c r="D46" s="31">
        <v>45723</v>
      </c>
      <c r="E46" s="2" t="s">
        <v>1188</v>
      </c>
      <c r="F46" s="32">
        <v>45717.541608796295</v>
      </c>
      <c r="G46" s="2" t="s">
        <v>1224</v>
      </c>
      <c r="H46" s="2" t="s">
        <v>22</v>
      </c>
      <c r="I46" s="2" t="s">
        <v>1225</v>
      </c>
      <c r="J46" s="31">
        <v>45800</v>
      </c>
      <c r="K46" s="2"/>
      <c r="L46" s="31">
        <v>45826</v>
      </c>
      <c r="M46" s="2"/>
      <c r="N46" s="35">
        <f>1.9558*21</f>
        <v>41.071799999999996</v>
      </c>
      <c r="O46" s="35">
        <f>Wet_Wipes[[#This Row],[Цена за 1 бр. в BGN]]*Wet_Wipes[[#This Row],[Поръчано Количество]]</f>
        <v>82.143599999999992</v>
      </c>
      <c r="P46" s="2" t="s">
        <v>1227</v>
      </c>
      <c r="Q46" s="2"/>
      <c r="R46" s="2" t="str" cm="1">
        <f t="array" ref="R46">_xlfn.SWITCH(S46,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7" spans="1:18">
      <c r="A47" s="2" t="s">
        <v>1250</v>
      </c>
      <c r="B47" s="2">
        <v>2</v>
      </c>
      <c r="C47" s="2">
        <f>Wet_Wipes[[#This Row],[Желано количество]]</f>
        <v>2</v>
      </c>
      <c r="D47" s="31">
        <v>45723</v>
      </c>
      <c r="E47" s="2" t="s">
        <v>1188</v>
      </c>
      <c r="F47" s="32">
        <v>45717.541828703703</v>
      </c>
      <c r="G47" s="2" t="s">
        <v>1224</v>
      </c>
      <c r="H47" s="2" t="s">
        <v>22</v>
      </c>
      <c r="I47" s="2" t="s">
        <v>1225</v>
      </c>
      <c r="J47" s="31">
        <v>45800</v>
      </c>
      <c r="K47" s="2"/>
      <c r="L47" s="31">
        <v>45826</v>
      </c>
      <c r="M47" s="2"/>
      <c r="N47" s="35">
        <f>1.9558*16</f>
        <v>31.2928</v>
      </c>
      <c r="O47" s="35">
        <f>Wet_Wipes[[#This Row],[Цена за 1 бр. в BGN]]*Wet_Wipes[[#This Row],[Поръчано Количество]]</f>
        <v>62.585599999999999</v>
      </c>
      <c r="P47" s="2" t="s">
        <v>1227</v>
      </c>
      <c r="Q47" s="2"/>
      <c r="R47" s="2" t="str" cm="1">
        <f t="array" ref="R47">_xlfn.SWITCH(S47,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8" spans="1:18">
      <c r="A48" t="s">
        <v>1251</v>
      </c>
      <c r="B48">
        <v>2</v>
      </c>
      <c r="C48" s="2">
        <f>Wet_Wipes[[#This Row],[Желано количество]]</f>
        <v>2</v>
      </c>
      <c r="D48" s="28">
        <v>45808</v>
      </c>
      <c r="E48" t="s">
        <v>1186</v>
      </c>
      <c r="F48" s="30">
        <v>45771.332384259258</v>
      </c>
      <c r="G48" s="2" t="s">
        <v>1252</v>
      </c>
      <c r="H48" s="2" t="s">
        <v>22</v>
      </c>
      <c r="I48" t="s">
        <v>46</v>
      </c>
      <c r="J48" s="28">
        <v>45869</v>
      </c>
      <c r="L48" s="28">
        <v>45870</v>
      </c>
      <c r="M48">
        <v>2</v>
      </c>
      <c r="N48">
        <v>644</v>
      </c>
      <c r="O48" s="2">
        <f>Wet_Wipes[[#This Row],[Цена за 1 бр. в BGN]]*Wet_Wipes[[#This Row],[Поръчано Количество]]</f>
        <v>1288</v>
      </c>
      <c r="P48" t="s">
        <v>1253</v>
      </c>
      <c r="R48" t="str" cm="1">
        <f t="array" ref="R48">_xlfn.SWITCH(S48,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9" spans="1:18">
      <c r="A49" t="s">
        <v>1254</v>
      </c>
      <c r="B49">
        <v>1</v>
      </c>
      <c r="C49" s="2">
        <f>Wet_Wipes[[#This Row],[Желано количество]]</f>
        <v>1</v>
      </c>
      <c r="D49" s="28">
        <v>45808</v>
      </c>
      <c r="E49" t="s">
        <v>1186</v>
      </c>
      <c r="F49" s="30">
        <v>45771.332638888889</v>
      </c>
      <c r="G49" s="2" t="s">
        <v>1252</v>
      </c>
      <c r="H49" s="2" t="s">
        <v>22</v>
      </c>
      <c r="I49" t="s">
        <v>46</v>
      </c>
      <c r="J49" s="28">
        <v>45869</v>
      </c>
      <c r="L49" s="28">
        <v>45870</v>
      </c>
      <c r="M49">
        <v>1</v>
      </c>
      <c r="N49">
        <v>1660</v>
      </c>
      <c r="O49" s="2">
        <f>Wet_Wipes[[#This Row],[Цена за 1 бр. в BGN]]*Wet_Wipes[[#This Row],[Поръчано Количество]]</f>
        <v>1660</v>
      </c>
      <c r="P49" t="s">
        <v>1253</v>
      </c>
      <c r="R49" t="str" cm="1">
        <f t="array" ref="R49">_xlfn.SWITCH(S49,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0" spans="1:18">
      <c r="A50" t="s">
        <v>1255</v>
      </c>
      <c r="B50">
        <v>6</v>
      </c>
      <c r="C50" s="2">
        <f>Wet_Wipes[[#This Row],[Желано количество]]</f>
        <v>6</v>
      </c>
      <c r="D50" s="28">
        <v>45808</v>
      </c>
      <c r="E50" t="s">
        <v>1186</v>
      </c>
      <c r="F50" s="30">
        <v>45771.333321759259</v>
      </c>
      <c r="G50" s="2" t="s">
        <v>1252</v>
      </c>
      <c r="H50" s="2" t="s">
        <v>22</v>
      </c>
      <c r="I50" t="s">
        <v>46</v>
      </c>
      <c r="J50" s="28">
        <v>45869</v>
      </c>
      <c r="L50" s="28">
        <v>45870</v>
      </c>
      <c r="M50">
        <v>6</v>
      </c>
      <c r="N50">
        <v>135</v>
      </c>
      <c r="O50" s="2">
        <f>Wet_Wipes[[#This Row],[Цена за 1 бр. в BGN]]*Wet_Wipes[[#This Row],[Поръчано Количество]]</f>
        <v>810</v>
      </c>
      <c r="P50" t="s">
        <v>1253</v>
      </c>
      <c r="R50" t="str" cm="1">
        <f t="array" ref="R50">_xlfn.SWITCH(S50,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1" spans="1:18">
      <c r="A51" t="s">
        <v>1256</v>
      </c>
      <c r="B51">
        <v>3</v>
      </c>
      <c r="C51" s="2">
        <f>Wet_Wipes[[#This Row],[Желано количество]]</f>
        <v>3</v>
      </c>
      <c r="D51" s="28">
        <v>45808</v>
      </c>
      <c r="E51" t="s">
        <v>1186</v>
      </c>
      <c r="F51" s="30">
        <v>45771.333657407406</v>
      </c>
      <c r="G51" s="2" t="s">
        <v>1252</v>
      </c>
      <c r="H51" s="2" t="s">
        <v>22</v>
      </c>
      <c r="I51" t="s">
        <v>46</v>
      </c>
      <c r="J51" s="28">
        <v>45869</v>
      </c>
      <c r="L51" s="28">
        <v>45870</v>
      </c>
      <c r="M51">
        <v>3</v>
      </c>
      <c r="N51">
        <v>166</v>
      </c>
      <c r="O51" s="2">
        <f>Wet_Wipes[[#This Row],[Цена за 1 бр. в BGN]]*Wet_Wipes[[#This Row],[Поръчано Количество]]</f>
        <v>498</v>
      </c>
      <c r="P51" t="s">
        <v>1253</v>
      </c>
      <c r="R51" t="str" cm="1">
        <f t="array" ref="R51">_xlfn.SWITCH(S51,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2" spans="1:18">
      <c r="A52" t="s">
        <v>1257</v>
      </c>
      <c r="B52">
        <v>10</v>
      </c>
      <c r="C52" s="2">
        <f>Wet_Wipes[[#This Row],[Желано количество]]</f>
        <v>10</v>
      </c>
      <c r="D52" s="28">
        <v>45808</v>
      </c>
      <c r="E52" t="s">
        <v>1188</v>
      </c>
      <c r="F52" s="30">
        <v>45771.360069444447</v>
      </c>
      <c r="G52" s="20" t="s">
        <v>1258</v>
      </c>
      <c r="H52" t="s">
        <v>22</v>
      </c>
      <c r="I52" t="s">
        <v>1200</v>
      </c>
      <c r="J52" s="28"/>
      <c r="L52" s="28"/>
      <c r="O52" s="2">
        <f>Wet_Wipes[[#This Row],[Цена за 1 бр. в BGN]]*Wet_Wipes[[#This Row],[Поръчано Количество]]</f>
        <v>0</v>
      </c>
      <c r="R52" t="str" cm="1">
        <f t="array" ref="R52">_xlfn.SWITCH(S52,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3" spans="1:18">
      <c r="A53" t="s">
        <v>1259</v>
      </c>
      <c r="B53">
        <v>5</v>
      </c>
      <c r="C53" s="2">
        <f>Wet_Wipes[[#This Row],[Желано количество]]</f>
        <v>5</v>
      </c>
      <c r="D53" s="28">
        <v>45808</v>
      </c>
      <c r="E53" t="s">
        <v>1208</v>
      </c>
      <c r="F53" s="30">
        <v>45771.363009259258</v>
      </c>
      <c r="G53" s="20"/>
      <c r="I53" t="s">
        <v>1225</v>
      </c>
      <c r="J53" s="28"/>
      <c r="L53" s="28"/>
      <c r="O53" s="2">
        <f>Wet_Wipes[[#This Row],[Цена за 1 бр. в BGN]]*Wet_Wipes[[#This Row],[Поръчано Количество]]</f>
        <v>0</v>
      </c>
      <c r="R53" t="str" cm="1">
        <f t="array" ref="R53">_xlfn.SWITCH(S53,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4" spans="1:18">
      <c r="A54" s="2" t="s">
        <v>1260</v>
      </c>
      <c r="B54" s="2">
        <v>1</v>
      </c>
      <c r="C54" s="2">
        <f>Wet_Wipes[[#This Row],[Желано количество]]</f>
        <v>1</v>
      </c>
      <c r="D54" s="31">
        <v>45727</v>
      </c>
      <c r="E54" s="2" t="s">
        <v>63</v>
      </c>
      <c r="F54" s="32">
        <v>45726.305856481478</v>
      </c>
      <c r="G54" s="20"/>
      <c r="H54" s="2" t="s">
        <v>22</v>
      </c>
      <c r="I54" s="2"/>
      <c r="J54" s="31"/>
      <c r="K54" s="2"/>
      <c r="L54" s="31"/>
      <c r="M54" s="2"/>
      <c r="N54" s="2"/>
      <c r="O54" s="2">
        <f>Wet_Wipes[[#This Row],[Цена за 1 бр. в BGN]]*Wet_Wipes[[#This Row],[Поръчано Количество]]</f>
        <v>0</v>
      </c>
      <c r="P54" s="2"/>
      <c r="Q54" s="2"/>
      <c r="R54" s="2" t="str" cm="1">
        <f t="array" ref="R54">_xlfn.SWITCH(S54,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5" spans="1:18">
      <c r="A55" t="s">
        <v>1261</v>
      </c>
      <c r="B55">
        <v>10</v>
      </c>
      <c r="C55" s="2">
        <f>Wet_Wipes[[#This Row],[Желано количество]]</f>
        <v>10</v>
      </c>
      <c r="D55" s="28">
        <v>45808</v>
      </c>
      <c r="E55" t="s">
        <v>1208</v>
      </c>
      <c r="F55" s="30">
        <v>45771.363518518519</v>
      </c>
      <c r="G55" s="2" t="s">
        <v>1252</v>
      </c>
      <c r="H55" s="2" t="s">
        <v>22</v>
      </c>
      <c r="I55" t="s">
        <v>46</v>
      </c>
      <c r="J55" s="28">
        <v>45869</v>
      </c>
      <c r="L55" s="28">
        <v>45870</v>
      </c>
      <c r="M55">
        <v>10</v>
      </c>
      <c r="N55">
        <v>14.5</v>
      </c>
      <c r="O55" s="2">
        <f>Wet_Wipes[[#This Row],[Цена за 1 бр. в BGN]]*Wet_Wipes[[#This Row],[Поръчано Количество]]</f>
        <v>145</v>
      </c>
      <c r="P55" t="s">
        <v>1253</v>
      </c>
      <c r="R55" t="str" cm="1">
        <f t="array" ref="R55">_xlfn.SWITCH(S55,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6" spans="1:18">
      <c r="A56" s="2" t="s">
        <v>1262</v>
      </c>
      <c r="B56" s="2">
        <v>1</v>
      </c>
      <c r="C56" s="2">
        <v>1</v>
      </c>
      <c r="D56" s="31">
        <v>45732</v>
      </c>
      <c r="E56" s="2" t="s">
        <v>1208</v>
      </c>
      <c r="F56" s="32">
        <v>45729.280324074076</v>
      </c>
      <c r="G56" s="20" t="s">
        <v>1263</v>
      </c>
      <c r="H56" s="2" t="s">
        <v>22</v>
      </c>
      <c r="I56" s="2" t="s">
        <v>46</v>
      </c>
      <c r="J56" s="31"/>
      <c r="K56" s="2"/>
      <c r="L56" s="31">
        <v>45749</v>
      </c>
      <c r="M56" s="2">
        <v>745</v>
      </c>
      <c r="N56" s="2">
        <f>Wet_Wipes[[#This Row],[Доставено количество]]*Wet_Wipes[[#This Row],[Поръчано Количество]]</f>
        <v>745</v>
      </c>
      <c r="O56" s="2">
        <f>Wet_Wipes[[#This Row],[Цена за 1 бр. в BGN]]*Wet_Wipes[[#This Row],[Поръчано Количество]]</f>
        <v>745</v>
      </c>
      <c r="P56" s="2"/>
      <c r="Q56" s="2"/>
      <c r="R56" s="2" t="str" cm="1">
        <f t="array" ref="R56">_xlfn.SWITCH(S56,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7" spans="1:18">
      <c r="A57" s="2" t="s">
        <v>1264</v>
      </c>
      <c r="B57" s="2">
        <v>1</v>
      </c>
      <c r="C57" s="2">
        <f>Wet_Wipes[[#This Row],[Желано количество]]</f>
        <v>1</v>
      </c>
      <c r="D57" s="31">
        <v>45720</v>
      </c>
      <c r="E57" s="2" t="s">
        <v>1186</v>
      </c>
      <c r="F57" s="32">
        <v>45715.227581018517</v>
      </c>
      <c r="G57" s="36" t="s">
        <v>1265</v>
      </c>
      <c r="H57" s="2" t="s">
        <v>22</v>
      </c>
      <c r="I57" s="2" t="s">
        <v>1266</v>
      </c>
      <c r="J57" s="31">
        <v>45723</v>
      </c>
      <c r="K57" s="2"/>
      <c r="L57" s="31">
        <v>45722</v>
      </c>
      <c r="M57" s="2">
        <v>1</v>
      </c>
      <c r="N57" s="2">
        <v>265.20999999999998</v>
      </c>
      <c r="O57" s="2">
        <f>Wet_Wipes[[#This Row],[Цена за 1 бр. в BGN]]*Wet_Wipes[[#This Row],[Поръчано Количество]]</f>
        <v>265.20999999999998</v>
      </c>
      <c r="P57" s="2"/>
      <c r="Q57" s="2"/>
      <c r="R57" s="2" t="str" cm="1">
        <f t="array" ref="R57">_xlfn.SWITCH(S57,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8" spans="1:18">
      <c r="A58" s="2" t="s">
        <v>1267</v>
      </c>
      <c r="B58" s="2">
        <v>5</v>
      </c>
      <c r="C58" s="2">
        <v>5</v>
      </c>
      <c r="D58" s="31">
        <v>45722</v>
      </c>
      <c r="E58" s="2" t="s">
        <v>1192</v>
      </c>
      <c r="F58" s="32">
        <v>45715.479907407411</v>
      </c>
      <c r="G58" s="20"/>
      <c r="H58" s="2" t="s">
        <v>22</v>
      </c>
      <c r="I58" s="2" t="s">
        <v>1268</v>
      </c>
      <c r="J58" s="31">
        <v>45716</v>
      </c>
      <c r="K58" s="2"/>
      <c r="L58" s="31">
        <v>45716</v>
      </c>
      <c r="M58" s="2">
        <v>5</v>
      </c>
      <c r="N58" s="2">
        <v>14.7</v>
      </c>
      <c r="O58" s="2">
        <f>Wet_Wipes[[#This Row],[Цена за 1 бр. в BGN]]*Wet_Wipes[[#This Row],[Поръчано Количество]]</f>
        <v>73.5</v>
      </c>
      <c r="P58" s="2"/>
      <c r="Q58" s="2"/>
      <c r="R58" s="2" t="str" cm="1">
        <f t="array" ref="R58">_xlfn.SWITCH(S58,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9" spans="1:18">
      <c r="A59" s="2" t="s">
        <v>1269</v>
      </c>
      <c r="B59" s="2">
        <v>30</v>
      </c>
      <c r="C59" s="2">
        <v>30</v>
      </c>
      <c r="D59" s="31">
        <v>45730</v>
      </c>
      <c r="E59" s="2" t="s">
        <v>1188</v>
      </c>
      <c r="F59" s="32">
        <v>45717.487453703703</v>
      </c>
      <c r="G59" s="37">
        <v>32085154</v>
      </c>
      <c r="H59" s="2" t="s">
        <v>22</v>
      </c>
      <c r="I59" s="2" t="s">
        <v>84</v>
      </c>
      <c r="J59" s="31">
        <v>45729</v>
      </c>
      <c r="K59" s="2" t="s">
        <v>1270</v>
      </c>
      <c r="L59" s="31">
        <v>45730</v>
      </c>
      <c r="M59" s="2">
        <v>30</v>
      </c>
      <c r="N59" s="2">
        <f>0.19*1.9558</f>
        <v>0.37160199999999999</v>
      </c>
      <c r="O59" s="35">
        <f>Wet_Wipes[[#This Row],[Цена за 1 бр. в BGN]]*Wet_Wipes[[#This Row],[Поръчано Количество]]</f>
        <v>11.148059999999999</v>
      </c>
      <c r="P59" s="2"/>
      <c r="Q59" s="2"/>
      <c r="R59" s="2" t="str" cm="1">
        <f t="array" ref="R59">_xlfn.SWITCH(S59,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0" spans="1:18">
      <c r="A60" s="2" t="s">
        <v>1271</v>
      </c>
      <c r="B60" s="2">
        <v>1</v>
      </c>
      <c r="C60" s="2">
        <v>1</v>
      </c>
      <c r="D60" s="31">
        <v>45730</v>
      </c>
      <c r="E60" s="2" t="s">
        <v>63</v>
      </c>
      <c r="F60" s="32">
        <v>45717.488842592589</v>
      </c>
      <c r="G60" s="37">
        <v>161900</v>
      </c>
      <c r="H60" s="2" t="s">
        <v>22</v>
      </c>
      <c r="I60" s="2" t="s">
        <v>58</v>
      </c>
      <c r="J60" s="31">
        <v>45722</v>
      </c>
      <c r="K60" s="2"/>
      <c r="L60" s="31"/>
      <c r="M60" s="2"/>
      <c r="N60" s="2">
        <v>14.73</v>
      </c>
      <c r="O60" s="2">
        <f>Wet_Wipes[[#This Row],[Цена за 1 бр. в BGN]]*Wet_Wipes[[#This Row],[Поръчано Количество]]</f>
        <v>14.73</v>
      </c>
      <c r="P60" s="2"/>
      <c r="Q60" s="2"/>
      <c r="R60" s="2" t="str" cm="1">
        <f t="array" ref="R60">_xlfn.SWITCH(S60,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1" spans="1:18">
      <c r="A61" s="2" t="s">
        <v>1272</v>
      </c>
      <c r="B61" s="2">
        <v>100</v>
      </c>
      <c r="C61" s="2"/>
      <c r="D61" s="31">
        <v>45716</v>
      </c>
      <c r="E61" s="2" t="s">
        <v>63</v>
      </c>
      <c r="F61" s="32">
        <v>45717.497916666667</v>
      </c>
      <c r="G61" s="20"/>
      <c r="H61" s="2" t="s">
        <v>22</v>
      </c>
      <c r="I61" s="2" t="s">
        <v>58</v>
      </c>
      <c r="J61" s="31"/>
      <c r="K61" s="2"/>
      <c r="L61" s="31"/>
      <c r="M61" s="2"/>
      <c r="N61" s="2"/>
      <c r="O61" s="2">
        <f>Wet_Wipes[[#This Row],[Цена за 1 бр. в BGN]]*Wet_Wipes[[#This Row],[Поръчано Количество]]</f>
        <v>0</v>
      </c>
      <c r="P61" s="2"/>
      <c r="Q61" s="2"/>
      <c r="R61" s="2" t="str" cm="1">
        <f t="array" ref="R61">_xlfn.SWITCH(S61,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2" spans="1:18">
      <c r="A62" s="2" t="s">
        <v>1273</v>
      </c>
      <c r="B62" s="2">
        <v>1</v>
      </c>
      <c r="C62" s="2"/>
      <c r="D62" s="31">
        <v>45723</v>
      </c>
      <c r="E62" s="2" t="s">
        <v>1188</v>
      </c>
      <c r="F62" s="32">
        <v>45717.501099537039</v>
      </c>
      <c r="G62" s="20"/>
      <c r="H62" s="2" t="s">
        <v>22</v>
      </c>
      <c r="I62" s="2" t="s">
        <v>46</v>
      </c>
      <c r="J62" s="31">
        <v>45730</v>
      </c>
      <c r="K62" s="2"/>
      <c r="L62" s="31">
        <v>45734</v>
      </c>
      <c r="M62" s="2">
        <v>1</v>
      </c>
      <c r="N62" s="2"/>
      <c r="O62" s="2">
        <f>Wet_Wipes[[#This Row],[Цена за 1 бр. в BGN]]*Wet_Wipes[[#This Row],[Поръчано Количество]]</f>
        <v>0</v>
      </c>
      <c r="P62" s="2"/>
      <c r="Q62" s="2"/>
      <c r="R62" s="2" t="str" cm="1">
        <f t="array" ref="R62">_xlfn.SWITCH(S62,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3" spans="1:18">
      <c r="A63" s="2" t="s">
        <v>1274</v>
      </c>
      <c r="B63" s="2">
        <v>1</v>
      </c>
      <c r="C63" s="2"/>
      <c r="D63" s="31">
        <v>45723</v>
      </c>
      <c r="E63" s="2" t="s">
        <v>63</v>
      </c>
      <c r="F63" s="32">
        <v>45717.501643518517</v>
      </c>
      <c r="G63" s="20"/>
      <c r="H63" s="2" t="s">
        <v>22</v>
      </c>
      <c r="I63" s="2"/>
      <c r="J63" s="31"/>
      <c r="K63" s="2"/>
      <c r="L63" s="31"/>
      <c r="M63" s="2"/>
      <c r="N63" s="2"/>
      <c r="O63" s="2">
        <f>Wet_Wipes[[#This Row],[Цена за 1 бр. в BGN]]*Wet_Wipes[[#This Row],[Поръчано Количество]]</f>
        <v>0</v>
      </c>
      <c r="P63" s="2"/>
      <c r="Q63" s="2"/>
      <c r="R63" s="2" t="str" cm="1">
        <f t="array" ref="R63">_xlfn.SWITCH(S63,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4" spans="1:18">
      <c r="A64" s="2" t="s">
        <v>1275</v>
      </c>
      <c r="B64" s="2">
        <v>1</v>
      </c>
      <c r="C64" s="2">
        <v>1</v>
      </c>
      <c r="D64" s="31">
        <v>45723</v>
      </c>
      <c r="E64" s="2" t="s">
        <v>63</v>
      </c>
      <c r="F64" s="32">
        <v>45717.503344907411</v>
      </c>
      <c r="G64" s="37">
        <v>161900</v>
      </c>
      <c r="H64" s="2" t="s">
        <v>22</v>
      </c>
      <c r="I64" s="2" t="s">
        <v>58</v>
      </c>
      <c r="J64" s="31">
        <v>45722</v>
      </c>
      <c r="K64" s="2"/>
      <c r="L64" s="31"/>
      <c r="M64" s="2"/>
      <c r="N64" s="2">
        <v>13.1</v>
      </c>
      <c r="O64" s="2">
        <f>Wet_Wipes[[#This Row],[Цена за 1 бр. в BGN]]*Wet_Wipes[[#This Row],[Поръчано Количество]]</f>
        <v>13.1</v>
      </c>
      <c r="P64" s="2"/>
      <c r="Q64" s="2"/>
      <c r="R64" s="2" t="str" cm="1">
        <f t="array" ref="R64">_xlfn.SWITCH(S64,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5" spans="1:19">
      <c r="A65" s="2" t="s">
        <v>1276</v>
      </c>
      <c r="B65" s="2">
        <v>2</v>
      </c>
      <c r="C65" s="2">
        <v>1</v>
      </c>
      <c r="D65" s="31">
        <v>45723</v>
      </c>
      <c r="E65" s="2" t="s">
        <v>1182</v>
      </c>
      <c r="F65" s="32">
        <v>45717.530092592591</v>
      </c>
      <c r="G65" s="2">
        <v>374714</v>
      </c>
      <c r="H65" s="2" t="s">
        <v>22</v>
      </c>
      <c r="I65" s="2" t="s">
        <v>164</v>
      </c>
      <c r="J65" s="31">
        <v>45724</v>
      </c>
      <c r="K65" s="2"/>
      <c r="L65" s="31">
        <v>45724</v>
      </c>
      <c r="M65" s="2"/>
      <c r="N65" s="2">
        <v>28.71</v>
      </c>
      <c r="O65" s="2">
        <f>Wet_Wipes[[#This Row],[Цена за 1 бр. в BGN]]*Wet_Wipes[[#This Row],[Поръчано Количество]]</f>
        <v>28.71</v>
      </c>
      <c r="P65" s="2"/>
      <c r="Q65" s="2"/>
      <c r="R65" s="2" t="str" cm="1">
        <f t="array" ref="R65">_xlfn.SWITCH(S65,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6" spans="1:19">
      <c r="A66" s="2" t="s">
        <v>1277</v>
      </c>
      <c r="B66" s="2">
        <v>1</v>
      </c>
      <c r="C66" s="2">
        <v>1</v>
      </c>
      <c r="D66" s="31">
        <v>45723</v>
      </c>
      <c r="E66" s="2" t="s">
        <v>1188</v>
      </c>
      <c r="F66" s="32">
        <v>45717.546377314815</v>
      </c>
      <c r="G66" s="36"/>
      <c r="H66" s="2" t="s">
        <v>22</v>
      </c>
      <c r="I66" s="2" t="s">
        <v>1278</v>
      </c>
      <c r="J66" s="31">
        <v>45722</v>
      </c>
      <c r="K66" s="2"/>
      <c r="L66" s="31">
        <v>45721</v>
      </c>
      <c r="M66" s="2">
        <v>1</v>
      </c>
      <c r="N66" s="2">
        <v>698.77</v>
      </c>
      <c r="O66" s="2">
        <f>Wet_Wipes[[#This Row],[Цена за 1 бр. в BGN]]*Wet_Wipes[[#This Row],[Поръчано Количество]]</f>
        <v>698.77</v>
      </c>
      <c r="P66" s="2">
        <v>90001453</v>
      </c>
      <c r="Q66" s="2"/>
      <c r="R66" s="2" t="str" cm="1">
        <f t="array" ref="R66">_xlfn.SWITCH(S66,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7" spans="1:19">
      <c r="A67" t="s">
        <v>1279</v>
      </c>
      <c r="B67">
        <v>15</v>
      </c>
      <c r="C67" s="2">
        <v>20</v>
      </c>
      <c r="D67" s="28">
        <v>45808</v>
      </c>
      <c r="E67" t="s">
        <v>1188</v>
      </c>
      <c r="F67" s="30">
        <v>45771.366273148145</v>
      </c>
      <c r="G67" s="20" t="s">
        <v>1280</v>
      </c>
      <c r="H67" t="s">
        <v>22</v>
      </c>
      <c r="I67" t="s">
        <v>1281</v>
      </c>
      <c r="J67" s="28"/>
      <c r="L67" s="28"/>
      <c r="N67">
        <f>1.9558*73.5</f>
        <v>143.75129999999999</v>
      </c>
      <c r="O67" s="2">
        <f>Wet_Wipes[[#This Row],[Цена за 1 бр. в BGN]]*Wet_Wipes[[#This Row],[Поръчано Количество]]</f>
        <v>2875.0259999999998</v>
      </c>
      <c r="R67" t="str" cm="1">
        <f t="array" ref="R67">_xlfn.SWITCH(S67,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8" spans="1:19">
      <c r="A68" t="s">
        <v>1282</v>
      </c>
      <c r="B68">
        <v>6</v>
      </c>
      <c r="C68" s="2">
        <f>Wet_Wipes[[#This Row],[Желано количество]]</f>
        <v>6</v>
      </c>
      <c r="D68" s="28">
        <v>45808</v>
      </c>
      <c r="E68" t="s">
        <v>1208</v>
      </c>
      <c r="F68" s="30">
        <v>45771.367488425924</v>
      </c>
      <c r="G68" s="2" t="s">
        <v>1252</v>
      </c>
      <c r="H68" s="2" t="s">
        <v>22</v>
      </c>
      <c r="I68" t="s">
        <v>46</v>
      </c>
      <c r="J68" s="28">
        <v>45869</v>
      </c>
      <c r="L68" s="28">
        <v>45870</v>
      </c>
      <c r="M68">
        <v>6</v>
      </c>
      <c r="N68">
        <v>109.1</v>
      </c>
      <c r="O68" s="2">
        <f>Wet_Wipes[[#This Row],[Цена за 1 бр. в BGN]]*Wet_Wipes[[#This Row],[Поръчано Количество]]</f>
        <v>654.59999999999991</v>
      </c>
      <c r="P68" t="s">
        <v>1253</v>
      </c>
      <c r="R68" t="str" cm="1">
        <f t="array" ref="R68">_xlfn.SWITCH(S68,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9" spans="1:19">
      <c r="A69" t="s">
        <v>1282</v>
      </c>
      <c r="B69">
        <v>4</v>
      </c>
      <c r="C69" s="2">
        <f>Wet_Wipes[[#This Row],[Желано количество]]</f>
        <v>4</v>
      </c>
      <c r="D69" s="28">
        <v>45808</v>
      </c>
      <c r="E69" t="s">
        <v>1208</v>
      </c>
      <c r="F69" s="30">
        <v>45771.368368055555</v>
      </c>
      <c r="G69" s="2" t="s">
        <v>1252</v>
      </c>
      <c r="H69" s="2" t="s">
        <v>22</v>
      </c>
      <c r="I69" t="s">
        <v>46</v>
      </c>
      <c r="J69" s="28">
        <v>45869</v>
      </c>
      <c r="L69" s="28">
        <v>45870</v>
      </c>
      <c r="M69">
        <v>4</v>
      </c>
      <c r="N69">
        <v>109.1</v>
      </c>
      <c r="O69" s="2">
        <f>Wet_Wipes[[#This Row],[Цена за 1 бр. в BGN]]*Wet_Wipes[[#This Row],[Поръчано Количество]]</f>
        <v>436.4</v>
      </c>
      <c r="P69" t="s">
        <v>1253</v>
      </c>
      <c r="R69" t="str" cm="1">
        <f t="array" ref="R69">_xlfn.SWITCH(S69,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0" spans="1:19">
      <c r="A70" t="s">
        <v>1283</v>
      </c>
      <c r="B70">
        <v>7</v>
      </c>
      <c r="C70" s="2">
        <f>Wet_Wipes[[#This Row],[Желано количество]]</f>
        <v>7</v>
      </c>
      <c r="D70" s="28">
        <v>45808</v>
      </c>
      <c r="E70" t="s">
        <v>1208</v>
      </c>
      <c r="F70" s="30">
        <v>45771.368715277778</v>
      </c>
      <c r="G70" s="2" t="s">
        <v>1252</v>
      </c>
      <c r="H70" s="2" t="s">
        <v>22</v>
      </c>
      <c r="I70" t="s">
        <v>46</v>
      </c>
      <c r="J70" s="28">
        <v>45869</v>
      </c>
      <c r="L70" s="28">
        <v>45870</v>
      </c>
      <c r="M70">
        <v>7</v>
      </c>
      <c r="N70">
        <v>82</v>
      </c>
      <c r="O70" s="2">
        <f>Wet_Wipes[[#This Row],[Цена за 1 бр. в BGN]]*Wet_Wipes[[#This Row],[Поръчано Количество]]</f>
        <v>574</v>
      </c>
      <c r="P70" t="s">
        <v>1253</v>
      </c>
      <c r="R70" t="str" cm="1">
        <f t="array" ref="R70">_xlfn.SWITCH(S70,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1" spans="1:19">
      <c r="A71" t="s">
        <v>1284</v>
      </c>
      <c r="B71">
        <v>3</v>
      </c>
      <c r="C71" s="2">
        <f>Wet_Wipes[[#This Row],[Желано количество]]</f>
        <v>3</v>
      </c>
      <c r="D71" s="28">
        <v>45808</v>
      </c>
      <c r="E71" t="s">
        <v>1285</v>
      </c>
      <c r="F71" s="30">
        <v>45771.37027777778</v>
      </c>
      <c r="G71" s="2" t="s">
        <v>1252</v>
      </c>
      <c r="H71" s="2" t="s">
        <v>22</v>
      </c>
      <c r="I71" t="s">
        <v>46</v>
      </c>
      <c r="J71" s="28">
        <v>45869</v>
      </c>
      <c r="L71" s="28">
        <v>45870</v>
      </c>
      <c r="M71">
        <v>3</v>
      </c>
      <c r="N71">
        <v>185.8</v>
      </c>
      <c r="O71" s="2">
        <f>Wet_Wipes[[#This Row],[Цена за 1 бр. в BGN]]*Wet_Wipes[[#This Row],[Поръчано Количество]]</f>
        <v>557.40000000000009</v>
      </c>
      <c r="P71" t="s">
        <v>1253</v>
      </c>
      <c r="R71" t="str" cm="1">
        <f t="array" ref="R71">_xlfn.SWITCH(S71,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2" spans="1:19" s="43" customFormat="1">
      <c r="A72" t="s">
        <v>1286</v>
      </c>
      <c r="B72">
        <v>4</v>
      </c>
      <c r="C72" s="2">
        <f>Wet_Wipes[[#This Row],[Желано количество]]</f>
        <v>4</v>
      </c>
      <c r="D72" s="28">
        <v>45808</v>
      </c>
      <c r="E72" t="s">
        <v>1188</v>
      </c>
      <c r="F72" s="30">
        <v>45777.295555555553</v>
      </c>
      <c r="G72" s="20" t="s">
        <v>257</v>
      </c>
      <c r="H72" t="s">
        <v>22</v>
      </c>
      <c r="I72" t="s">
        <v>101</v>
      </c>
      <c r="J72" s="28"/>
      <c r="K72"/>
      <c r="L72" s="28">
        <v>45832</v>
      </c>
      <c r="M72">
        <v>4</v>
      </c>
      <c r="N72">
        <v>21.4</v>
      </c>
      <c r="O72" s="2">
        <f>Wet_Wipes[[#This Row],[Цена за 1 бр. в BGN]]*Wet_Wipes[[#This Row],[Поръчано Количество]]</f>
        <v>85.6</v>
      </c>
      <c r="P72"/>
      <c r="Q72"/>
      <c r="R72" t="str" cm="1">
        <f t="array" ref="R72">_xlfn.SWITCH(S72,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72"/>
    </row>
    <row r="73" spans="1:19" s="43" customFormat="1">
      <c r="A73" t="s">
        <v>1287</v>
      </c>
      <c r="B73">
        <v>4</v>
      </c>
      <c r="C73" s="2">
        <f>Wet_Wipes[[#This Row],[Желано количество]]</f>
        <v>4</v>
      </c>
      <c r="D73" s="28">
        <v>45808</v>
      </c>
      <c r="E73" t="s">
        <v>1208</v>
      </c>
      <c r="F73" s="30">
        <v>45777.309224537035</v>
      </c>
      <c r="G73" s="20" t="s">
        <v>257</v>
      </c>
      <c r="H73" t="s">
        <v>22</v>
      </c>
      <c r="I73" t="s">
        <v>101</v>
      </c>
      <c r="J73" s="28"/>
      <c r="K73"/>
      <c r="L73" s="28">
        <v>45832</v>
      </c>
      <c r="M73">
        <v>4</v>
      </c>
      <c r="N73">
        <v>135.25</v>
      </c>
      <c r="O73" s="2">
        <f>Wet_Wipes[[#This Row],[Цена за 1 бр. в BGN]]*Wet_Wipes[[#This Row],[Поръчано Количество]]</f>
        <v>541</v>
      </c>
      <c r="P73"/>
      <c r="Q73"/>
      <c r="R73" t="str" cm="1">
        <f t="array" ref="R73">_xlfn.SWITCH(S73,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4" spans="1:19">
      <c r="A74" t="s">
        <v>1288</v>
      </c>
      <c r="B74">
        <v>1</v>
      </c>
      <c r="C74" s="2">
        <f>Wet_Wipes[[#This Row],[Желано количество]]</f>
        <v>1</v>
      </c>
      <c r="D74" s="28">
        <v>45808</v>
      </c>
      <c r="E74" t="s">
        <v>63</v>
      </c>
      <c r="F74" s="30">
        <v>45787.203726851854</v>
      </c>
      <c r="G74" s="2">
        <v>177751</v>
      </c>
      <c r="H74" t="s">
        <v>22</v>
      </c>
      <c r="I74" t="s">
        <v>58</v>
      </c>
      <c r="J74" s="31" t="s">
        <v>1205</v>
      </c>
      <c r="L74" s="31">
        <v>45835</v>
      </c>
      <c r="M74">
        <v>1</v>
      </c>
      <c r="N74">
        <v>17.38</v>
      </c>
      <c r="O74" s="2">
        <f>Wet_Wipes[[#This Row],[Цена за 1 бр. в BGN]]*Wet_Wipes[[#This Row],[Поръчано Количество]]</f>
        <v>17.38</v>
      </c>
      <c r="R74" t="str" cm="1">
        <f t="array" ref="R74">_xlfn.SWITCH(S74,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74" s="43"/>
    </row>
    <row r="75" spans="1:19">
      <c r="A75" t="s">
        <v>1289</v>
      </c>
      <c r="B75">
        <v>2</v>
      </c>
      <c r="C75" s="2">
        <f>Wet_Wipes[[#This Row],[Желано количество]]</f>
        <v>2</v>
      </c>
      <c r="D75" s="28">
        <v>45817</v>
      </c>
      <c r="E75" t="s">
        <v>1208</v>
      </c>
      <c r="F75" s="30">
        <v>45812.342129629629</v>
      </c>
      <c r="G75" s="20"/>
      <c r="I75" t="s">
        <v>48</v>
      </c>
      <c r="J75" s="28"/>
      <c r="L75" s="28"/>
      <c r="O75" s="2">
        <f>Wet_Wipes[[#This Row],[Цена за 1 бр. в BGN]]*Wet_Wipes[[#This Row],[Поръчано Количество]]</f>
        <v>0</v>
      </c>
      <c r="R75" t="str" cm="1">
        <f t="array" ref="R75">_xlfn.SWITCH(S75,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6" spans="1:19">
      <c r="A76" t="s">
        <v>1290</v>
      </c>
      <c r="B76">
        <v>4</v>
      </c>
      <c r="C76" s="2">
        <f>Wet_Wipes[[#This Row],[Желано количество]]</f>
        <v>4</v>
      </c>
      <c r="D76" s="28">
        <v>45817</v>
      </c>
      <c r="E76" t="s">
        <v>1208</v>
      </c>
      <c r="F76" s="30">
        <v>45812.342303240737</v>
      </c>
      <c r="G76" s="20" t="s">
        <v>308</v>
      </c>
      <c r="H76" t="s">
        <v>22</v>
      </c>
      <c r="J76" s="28"/>
      <c r="L76" s="28"/>
      <c r="O76" s="2">
        <f>Wet_Wipes[[#This Row],[Цена за 1 бр. в BGN]]*Wet_Wipes[[#This Row],[Поръчано Количество]]</f>
        <v>0</v>
      </c>
      <c r="R76" t="str" cm="1">
        <f t="array" ref="R76">_xlfn.SWITCH(S76,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7" spans="1:19">
      <c r="A77" t="s">
        <v>1291</v>
      </c>
      <c r="B77">
        <v>2</v>
      </c>
      <c r="C77" s="2">
        <f>Wet_Wipes[[#This Row],[Желано количество]]</f>
        <v>2</v>
      </c>
      <c r="D77" s="28">
        <v>45817</v>
      </c>
      <c r="E77" t="s">
        <v>1208</v>
      </c>
      <c r="F77" s="30">
        <v>45812.342418981483</v>
      </c>
      <c r="G77" s="20" t="s">
        <v>308</v>
      </c>
      <c r="H77" t="s">
        <v>22</v>
      </c>
      <c r="I77" t="s">
        <v>48</v>
      </c>
      <c r="J77" s="28"/>
      <c r="L77" s="28"/>
      <c r="O77" s="2">
        <f>Wet_Wipes[[#This Row],[Цена за 1 бр. в BGN]]*Wet_Wipes[[#This Row],[Поръчано Количество]]</f>
        <v>0</v>
      </c>
      <c r="R77" t="str" cm="1">
        <f t="array" ref="R77">_xlfn.SWITCH(S77,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8" spans="1:19">
      <c r="A78" t="s">
        <v>1292</v>
      </c>
      <c r="B78">
        <v>3</v>
      </c>
      <c r="C78" s="2">
        <v>3</v>
      </c>
      <c r="D78" s="28">
        <v>45817</v>
      </c>
      <c r="E78" t="s">
        <v>1208</v>
      </c>
      <c r="F78" s="30">
        <v>45812.358958333331</v>
      </c>
      <c r="G78" s="20" t="s">
        <v>308</v>
      </c>
      <c r="H78" t="s">
        <v>22</v>
      </c>
      <c r="I78" t="s">
        <v>48</v>
      </c>
      <c r="J78" s="28"/>
      <c r="L78" s="28"/>
      <c r="O78" s="2">
        <f>Wet_Wipes[[#This Row],[Цена за 1 бр. в BGN]]*Wet_Wipes[[#This Row],[Поръчано Количество]]</f>
        <v>0</v>
      </c>
      <c r="R78" t="str" cm="1">
        <f t="array" ref="R78">_xlfn.SWITCH(S78,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9" spans="1:19">
      <c r="A79" t="s">
        <v>1293</v>
      </c>
      <c r="B79">
        <v>2</v>
      </c>
      <c r="C79" s="2">
        <f>Wet_Wipes[[#This Row],[Желано количество]]</f>
        <v>2</v>
      </c>
      <c r="D79" s="28">
        <v>45825</v>
      </c>
      <c r="E79" t="s">
        <v>63</v>
      </c>
      <c r="F79" s="30">
        <v>45825.310347222221</v>
      </c>
      <c r="G79" s="20"/>
      <c r="H79" t="s">
        <v>30</v>
      </c>
      <c r="J79" s="28"/>
      <c r="L79" s="28"/>
      <c r="O79" s="2">
        <f>Wet_Wipes[[#This Row],[Цена за 1 бр. в BGN]]*Wet_Wipes[[#This Row],[Поръчано Количество]]</f>
        <v>0</v>
      </c>
      <c r="R79" t="str" cm="1">
        <f t="array" ref="R79">_xlfn.SWITCH(S79,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0" spans="1:19">
      <c r="A80" t="s">
        <v>1294</v>
      </c>
      <c r="B80">
        <v>1</v>
      </c>
      <c r="C80" s="2">
        <f>Wet_Wipes[[#This Row],[Желано количество]]</f>
        <v>1</v>
      </c>
      <c r="D80" s="28">
        <v>45825</v>
      </c>
      <c r="E80" t="s">
        <v>1192</v>
      </c>
      <c r="F80" s="30">
        <v>45825.310960648145</v>
      </c>
      <c r="G80" s="20" t="s">
        <v>308</v>
      </c>
      <c r="H80" t="s">
        <v>22</v>
      </c>
      <c r="J80" s="28"/>
      <c r="L80" s="28"/>
      <c r="O80" s="2">
        <f>Wet_Wipes[[#This Row],[Цена за 1 бр. в BGN]]*Wet_Wipes[[#This Row],[Поръчано Количество]]</f>
        <v>0</v>
      </c>
      <c r="R80" t="str" cm="1">
        <f t="array" ref="R80">_xlfn.SWITCH(S80,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1" spans="1:18">
      <c r="A81" s="2" t="s">
        <v>1295</v>
      </c>
      <c r="B81" s="2">
        <v>5</v>
      </c>
      <c r="C81" s="2">
        <v>5</v>
      </c>
      <c r="D81" s="31">
        <v>45744</v>
      </c>
      <c r="E81" s="2" t="s">
        <v>1188</v>
      </c>
      <c r="F81" s="32">
        <v>45717.564189814817</v>
      </c>
      <c r="G81" s="2" t="s">
        <v>1219</v>
      </c>
      <c r="H81" s="2" t="s">
        <v>22</v>
      </c>
      <c r="I81" s="2" t="s">
        <v>1220</v>
      </c>
      <c r="J81" s="31"/>
      <c r="K81" s="2"/>
      <c r="L81" s="31"/>
      <c r="M81" s="2"/>
      <c r="N81" s="35">
        <f>1.9558*148.7</f>
        <v>290.82745999999997</v>
      </c>
      <c r="O81" s="35">
        <f>Wet_Wipes[[#This Row],[Цена за 1 бр. в BGN]]*Wet_Wipes[[#This Row],[Поръчано Количество]]</f>
        <v>1454.1372999999999</v>
      </c>
      <c r="P81" s="2"/>
      <c r="Q81" s="2"/>
      <c r="R81" s="2" t="str" cm="1">
        <f t="array" ref="R81">_xlfn.SWITCH(S81,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2" spans="1:18">
      <c r="A82" t="s">
        <v>1296</v>
      </c>
      <c r="B82">
        <v>1</v>
      </c>
      <c r="C82" s="2">
        <f>Wet_Wipes[[#This Row],[Желано количество]]</f>
        <v>1</v>
      </c>
      <c r="D82" s="28">
        <v>45825</v>
      </c>
      <c r="E82" t="s">
        <v>63</v>
      </c>
      <c r="F82" s="30">
        <v>45825.311689814815</v>
      </c>
      <c r="G82" s="38">
        <v>202085</v>
      </c>
      <c r="H82" t="s">
        <v>22</v>
      </c>
      <c r="I82" t="s">
        <v>58</v>
      </c>
      <c r="J82" s="28">
        <v>46002</v>
      </c>
      <c r="L82" s="28"/>
      <c r="O82" s="2">
        <f>Wet_Wipes[[#This Row],[Цена за 1 бр. в BGN]]*Wet_Wipes[[#This Row],[Поръчано Количество]]</f>
        <v>0</v>
      </c>
      <c r="R82" t="str" cm="1">
        <f t="array" ref="R82">_xlfn.SWITCH(S82,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3" spans="1:18">
      <c r="A83" s="2" t="s">
        <v>1297</v>
      </c>
      <c r="B83" s="2">
        <v>10</v>
      </c>
      <c r="C83" s="2">
        <v>10</v>
      </c>
      <c r="D83" s="31">
        <v>45723</v>
      </c>
      <c r="E83" s="2" t="s">
        <v>63</v>
      </c>
      <c r="F83" s="32">
        <v>45717.56527777778</v>
      </c>
      <c r="G83" s="2">
        <v>162689</v>
      </c>
      <c r="H83" s="2" t="s">
        <v>22</v>
      </c>
      <c r="I83" s="2" t="s">
        <v>58</v>
      </c>
      <c r="J83" s="31">
        <v>45728</v>
      </c>
      <c r="K83" s="2"/>
      <c r="L83" s="31">
        <v>45730</v>
      </c>
      <c r="M83" s="2">
        <v>10</v>
      </c>
      <c r="N83" s="2">
        <v>1.08</v>
      </c>
      <c r="O83" s="2">
        <f>Wet_Wipes[[#This Row],[Цена за 1 бр. в BGN]]*Wet_Wipes[[#This Row],[Поръчано Количество]]</f>
        <v>10.8</v>
      </c>
      <c r="P83" s="2"/>
      <c r="Q83" s="2"/>
      <c r="R83" s="2" t="str" cm="1">
        <f t="array" ref="R83">_xlfn.SWITCH(S83,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4" spans="1:18">
      <c r="A84" s="2" t="s">
        <v>1298</v>
      </c>
      <c r="B84" s="2">
        <v>2</v>
      </c>
      <c r="C84" s="2">
        <v>4</v>
      </c>
      <c r="D84" s="31">
        <v>45737</v>
      </c>
      <c r="E84" s="2" t="s">
        <v>1192</v>
      </c>
      <c r="F84" s="32">
        <v>45717.566122685188</v>
      </c>
      <c r="G84" s="36" t="s">
        <v>1299</v>
      </c>
      <c r="H84" s="2" t="s">
        <v>22</v>
      </c>
      <c r="I84" s="2" t="s">
        <v>73</v>
      </c>
      <c r="J84" s="31">
        <v>45729</v>
      </c>
      <c r="K84" s="2"/>
      <c r="L84" s="31">
        <v>45721</v>
      </c>
      <c r="M84" s="2">
        <v>4</v>
      </c>
      <c r="N84" s="2">
        <v>30.71</v>
      </c>
      <c r="O84" s="2">
        <f>Wet_Wipes[[#This Row],[Цена за 1 бр. в BGN]]*Wet_Wipes[[#This Row],[Поръчано Количество]]</f>
        <v>122.84</v>
      </c>
      <c r="P84" s="2"/>
      <c r="Q84" s="2"/>
      <c r="R84" s="2" t="str" cm="1">
        <f t="array" ref="R84">_xlfn.SWITCH(S84,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5" spans="1:18">
      <c r="A85" s="2" t="s">
        <v>1300</v>
      </c>
      <c r="B85" s="2">
        <v>2</v>
      </c>
      <c r="C85" s="2">
        <v>4</v>
      </c>
      <c r="D85" s="31">
        <v>45737</v>
      </c>
      <c r="E85" s="2" t="s">
        <v>1192</v>
      </c>
      <c r="F85" s="32">
        <v>45717.566446759258</v>
      </c>
      <c r="G85" s="36" t="s">
        <v>1299</v>
      </c>
      <c r="H85" s="2" t="s">
        <v>22</v>
      </c>
      <c r="I85" s="2" t="s">
        <v>73</v>
      </c>
      <c r="J85" s="31">
        <v>45729</v>
      </c>
      <c r="K85" s="2"/>
      <c r="L85" s="31">
        <v>45721</v>
      </c>
      <c r="M85" s="2">
        <v>4</v>
      </c>
      <c r="N85" s="2">
        <v>40.880000000000003</v>
      </c>
      <c r="O85" s="2">
        <f>Wet_Wipes[[#This Row],[Цена за 1 бр. в BGN]]*Wet_Wipes[[#This Row],[Поръчано Количество]]</f>
        <v>163.52000000000001</v>
      </c>
      <c r="P85" s="2"/>
      <c r="Q85" s="2"/>
      <c r="R85" s="2" t="str" cm="1">
        <f t="array" ref="R85">_xlfn.SWITCH(S85,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6" spans="1:18">
      <c r="A86" t="s">
        <v>1301</v>
      </c>
      <c r="B86">
        <v>10</v>
      </c>
      <c r="C86" s="2">
        <f>Wet_Wipes[[#This Row],[Желано количество]]</f>
        <v>10</v>
      </c>
      <c r="D86" s="28">
        <v>45825</v>
      </c>
      <c r="E86" t="s">
        <v>1208</v>
      </c>
      <c r="F86" s="30">
        <v>45825.313368055555</v>
      </c>
      <c r="G86" s="20"/>
      <c r="H86" t="s">
        <v>22</v>
      </c>
      <c r="I86" t="s">
        <v>31</v>
      </c>
      <c r="J86" s="28"/>
      <c r="L86" s="28"/>
      <c r="O86" s="2">
        <f>Wet_Wipes[[#This Row],[Цена за 1 бр. в BGN]]*Wet_Wipes[[#This Row],[Поръчано Количество]]</f>
        <v>0</v>
      </c>
      <c r="R86" t="str" cm="1">
        <f t="array" ref="R86">_xlfn.SWITCH(S86,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7" spans="1:18">
      <c r="A87" t="s">
        <v>1302</v>
      </c>
      <c r="B87">
        <v>100</v>
      </c>
      <c r="C87" s="2">
        <f>Wet_Wipes[[#This Row],[Желано количество]]</f>
        <v>100</v>
      </c>
      <c r="D87" s="28">
        <v>45825</v>
      </c>
      <c r="E87" t="s">
        <v>1208</v>
      </c>
      <c r="F87" s="30">
        <v>45825.314120370371</v>
      </c>
      <c r="G87" s="20" t="s">
        <v>308</v>
      </c>
      <c r="H87" t="s">
        <v>22</v>
      </c>
      <c r="I87" t="s">
        <v>31</v>
      </c>
      <c r="J87" s="28"/>
      <c r="L87" s="28"/>
      <c r="O87" s="2">
        <f>Wet_Wipes[[#This Row],[Цена за 1 бр. в BGN]]*Wet_Wipes[[#This Row],[Поръчано Количество]]</f>
        <v>0</v>
      </c>
      <c r="R87" t="str" cm="1">
        <f t="array" ref="R87">_xlfn.SWITCH(S87,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8" spans="1:18">
      <c r="A88" s="2" t="s">
        <v>1303</v>
      </c>
      <c r="B88" s="2">
        <v>4</v>
      </c>
      <c r="C88" s="2">
        <v>4</v>
      </c>
      <c r="D88" s="31">
        <v>45744</v>
      </c>
      <c r="E88" s="2" t="s">
        <v>1188</v>
      </c>
      <c r="F88" s="32">
        <v>45717.569849537038</v>
      </c>
      <c r="G88" s="1" t="s">
        <v>111</v>
      </c>
      <c r="H88" s="2" t="s">
        <v>22</v>
      </c>
      <c r="I88" s="2" t="s">
        <v>112</v>
      </c>
      <c r="J88" s="31">
        <v>45755</v>
      </c>
      <c r="K88" s="2"/>
      <c r="L88" s="31">
        <v>45755</v>
      </c>
      <c r="M88" s="2">
        <v>4</v>
      </c>
      <c r="N88" s="2">
        <v>100.12</v>
      </c>
      <c r="O88" s="2">
        <f>Wet_Wipes[[#This Row],[Цена за 1 бр. в BGN]]*Wet_Wipes[[#This Row],[Поръчано Количество]]</f>
        <v>400.48</v>
      </c>
      <c r="P88" s="2"/>
      <c r="Q88" s="2"/>
      <c r="R88" s="2" t="str" cm="1">
        <f t="array" ref="R88">_xlfn.SWITCH(S88,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9" spans="1:18">
      <c r="A89" t="s">
        <v>1304</v>
      </c>
      <c r="B89">
        <v>100</v>
      </c>
      <c r="C89" s="2">
        <f>Wet_Wipes[[#This Row],[Желано количество]]</f>
        <v>100</v>
      </c>
      <c r="D89" s="28">
        <v>45825</v>
      </c>
      <c r="E89" t="s">
        <v>1208</v>
      </c>
      <c r="F89" s="30">
        <v>45825.31486111111</v>
      </c>
      <c r="G89" s="20" t="s">
        <v>308</v>
      </c>
      <c r="H89" t="s">
        <v>22</v>
      </c>
      <c r="I89" t="s">
        <v>31</v>
      </c>
      <c r="J89" s="28"/>
      <c r="L89" s="28"/>
      <c r="O89" s="2">
        <f>Wet_Wipes[[#This Row],[Цена за 1 бр. в BGN]]*Wet_Wipes[[#This Row],[Поръчано Количество]]</f>
        <v>0</v>
      </c>
      <c r="R89" t="str" cm="1">
        <f t="array" ref="R89">_xlfn.SWITCH(S89,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0" spans="1:18">
      <c r="A90" s="2" t="s">
        <v>1305</v>
      </c>
      <c r="B90" s="2">
        <v>10</v>
      </c>
      <c r="C90" s="2">
        <v>10</v>
      </c>
      <c r="D90" s="31">
        <v>45747</v>
      </c>
      <c r="E90" s="2" t="s">
        <v>63</v>
      </c>
      <c r="F90" s="32">
        <v>45720.315636574072</v>
      </c>
      <c r="G90" s="2"/>
      <c r="H90" s="2" t="s">
        <v>22</v>
      </c>
      <c r="I90" s="2" t="s">
        <v>104</v>
      </c>
      <c r="J90" s="31"/>
      <c r="K90" s="2"/>
      <c r="L90" s="31">
        <v>45784</v>
      </c>
      <c r="M90" s="2">
        <v>10</v>
      </c>
      <c r="N90" s="2">
        <v>50.26</v>
      </c>
      <c r="O90" s="2">
        <f>Wet_Wipes[[#This Row],[Цена за 1 бр. в BGN]]*Wet_Wipes[[#This Row],[Поръчано Количество]]</f>
        <v>502.59999999999997</v>
      </c>
      <c r="P90" s="2"/>
      <c r="Q90" s="2"/>
      <c r="R90" s="2" t="str" cm="1">
        <f t="array" ref="R90">_xlfn.SWITCH(S90,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1" spans="1:18">
      <c r="A91" s="2" t="s">
        <v>1306</v>
      </c>
      <c r="B91" s="2">
        <v>30</v>
      </c>
      <c r="C91" s="2">
        <v>30</v>
      </c>
      <c r="D91" s="31">
        <v>45808</v>
      </c>
      <c r="E91" s="2" t="s">
        <v>1212</v>
      </c>
      <c r="F91" s="32">
        <v>45720.356064814812</v>
      </c>
      <c r="G91" s="37">
        <v>161900</v>
      </c>
      <c r="H91" s="2" t="s">
        <v>22</v>
      </c>
      <c r="I91" s="2" t="s">
        <v>58</v>
      </c>
      <c r="J91" s="31">
        <v>45722</v>
      </c>
      <c r="K91" s="2"/>
      <c r="L91" s="31"/>
      <c r="M91" s="2"/>
      <c r="N91" s="2">
        <v>0.68633</v>
      </c>
      <c r="O91" s="2">
        <f>Wet_Wipes[[#This Row],[Цена за 1 бр. в BGN]]*Wet_Wipes[[#This Row],[Поръчано Количество]]</f>
        <v>20.5899</v>
      </c>
      <c r="P91" s="2"/>
      <c r="Q91" s="2"/>
      <c r="R91" s="2" t="str" cm="1">
        <f t="array" ref="R91">_xlfn.SWITCH(S91,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2" spans="1:18">
      <c r="A92" s="2" t="s">
        <v>1307</v>
      </c>
      <c r="B92" s="2">
        <v>1</v>
      </c>
      <c r="C92" s="2"/>
      <c r="D92" s="31">
        <v>45746</v>
      </c>
      <c r="E92" s="2" t="s">
        <v>1208</v>
      </c>
      <c r="F92" s="32">
        <v>45720.359085648146</v>
      </c>
      <c r="G92" s="2"/>
      <c r="H92" s="2" t="s">
        <v>22</v>
      </c>
      <c r="I92" s="2"/>
      <c r="J92" s="31"/>
      <c r="K92" s="2"/>
      <c r="L92" s="31"/>
      <c r="M92" s="2"/>
      <c r="N92" s="2"/>
      <c r="O92" s="2">
        <f>Wet_Wipes[[#This Row],[Цена за 1 бр. в BGN]]*Wet_Wipes[[#This Row],[Поръчано Количество]]</f>
        <v>0</v>
      </c>
      <c r="P92" s="2"/>
      <c r="Q92" s="2"/>
      <c r="R92" s="2" t="str" cm="1">
        <f t="array" ref="R92">_xlfn.SWITCH(S92,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3" spans="1:18">
      <c r="A93" s="2" t="s">
        <v>1308</v>
      </c>
      <c r="B93" s="2">
        <v>2</v>
      </c>
      <c r="C93" s="2"/>
      <c r="D93" s="31">
        <v>45746</v>
      </c>
      <c r="E93" s="2" t="s">
        <v>1208</v>
      </c>
      <c r="F93" s="32">
        <v>45720.359861111108</v>
      </c>
      <c r="G93" s="2"/>
      <c r="H93" s="2" t="s">
        <v>22</v>
      </c>
      <c r="I93" s="2"/>
      <c r="J93" s="31"/>
      <c r="K93" s="2"/>
      <c r="L93" s="31"/>
      <c r="M93" s="2"/>
      <c r="N93" s="2"/>
      <c r="O93" s="2">
        <f>Wet_Wipes[[#This Row],[Цена за 1 бр. в BGN]]*Wet_Wipes[[#This Row],[Поръчано Количество]]</f>
        <v>0</v>
      </c>
      <c r="P93" s="2"/>
      <c r="Q93" s="2"/>
      <c r="R93" s="2" t="str" cm="1">
        <f t="array" ref="R93">_xlfn.SWITCH(S93,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4" spans="1:18">
      <c r="A94" s="2" t="s">
        <v>1309</v>
      </c>
      <c r="B94" s="2">
        <v>2</v>
      </c>
      <c r="C94" s="2">
        <f>Wet_Wipes[[#This Row],[Желано количество]]</f>
        <v>2</v>
      </c>
      <c r="D94" s="31">
        <v>45747</v>
      </c>
      <c r="E94" s="2" t="s">
        <v>1208</v>
      </c>
      <c r="F94" s="32">
        <v>45720.442916666667</v>
      </c>
      <c r="G94" s="2"/>
      <c r="H94" s="2" t="s">
        <v>22</v>
      </c>
      <c r="I94" s="2"/>
      <c r="J94" s="31"/>
      <c r="K94" s="2"/>
      <c r="L94" s="31"/>
      <c r="M94" s="2"/>
      <c r="N94" s="2"/>
      <c r="O94" s="2">
        <f>Wet_Wipes[[#This Row],[Цена за 1 бр. в BGN]]*Wet_Wipes[[#This Row],[Поръчано Количество]]</f>
        <v>0</v>
      </c>
      <c r="P94" s="2"/>
      <c r="Q94" s="2"/>
      <c r="R94" s="2" t="str" cm="1">
        <f t="array" ref="R94">_xlfn.SWITCH(S94,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5" spans="1:18">
      <c r="A95" s="2" t="s">
        <v>1310</v>
      </c>
      <c r="B95" s="2">
        <v>2</v>
      </c>
      <c r="C95" s="2">
        <v>2</v>
      </c>
      <c r="D95" s="31">
        <v>45726</v>
      </c>
      <c r="E95" s="2" t="s">
        <v>1186</v>
      </c>
      <c r="F95" s="32">
        <v>45715.228761574072</v>
      </c>
      <c r="G95" s="36"/>
      <c r="H95" s="2" t="s">
        <v>22</v>
      </c>
      <c r="I95" s="2"/>
      <c r="J95" s="31"/>
      <c r="K95" s="2"/>
      <c r="L95" s="31"/>
      <c r="M95" s="2"/>
      <c r="N95" s="2"/>
      <c r="O95" s="2">
        <f>Wet_Wipes[[#This Row],[Цена за 1 бр. в BGN]]*Wet_Wipes[[#This Row],[Поръчано Количество]]</f>
        <v>0</v>
      </c>
      <c r="P95" s="2"/>
      <c r="Q95" s="2"/>
      <c r="R95" s="2" t="str" cm="1">
        <f t="array" ref="R95">_xlfn.SWITCH(S95,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6" spans="1:18">
      <c r="A96" s="2" t="s">
        <v>1311</v>
      </c>
      <c r="B96" s="2">
        <v>30</v>
      </c>
      <c r="C96" s="2">
        <f>Wet_Wipes[[#This Row],[Желано количество]]</f>
        <v>30</v>
      </c>
      <c r="D96" s="31">
        <v>45739</v>
      </c>
      <c r="E96" s="2" t="s">
        <v>1188</v>
      </c>
      <c r="F96" s="32">
        <v>45720.452106481483</v>
      </c>
      <c r="G96" s="1" t="s">
        <v>111</v>
      </c>
      <c r="H96" s="2" t="s">
        <v>22</v>
      </c>
      <c r="I96" s="2" t="s">
        <v>112</v>
      </c>
      <c r="J96" s="31">
        <v>45755</v>
      </c>
      <c r="K96" s="2"/>
      <c r="L96" s="31">
        <v>45755</v>
      </c>
      <c r="M96" s="2">
        <v>30</v>
      </c>
      <c r="N96" s="2">
        <v>2.4</v>
      </c>
      <c r="O96" s="2">
        <f>Wet_Wipes[[#This Row],[Цена за 1 бр. в BGN]]*Wet_Wipes[[#This Row],[Поръчано Количество]]</f>
        <v>72</v>
      </c>
      <c r="P96" s="2"/>
      <c r="Q96" s="2"/>
      <c r="R96" s="2" t="str" cm="1">
        <f t="array" ref="R96">_xlfn.SWITCH(S96,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7" spans="1:18">
      <c r="A97" s="2" t="s">
        <v>1312</v>
      </c>
      <c r="B97" s="2">
        <v>10</v>
      </c>
      <c r="C97" s="2">
        <f>Wet_Wipes[[#This Row],[Желано количество]]</f>
        <v>10</v>
      </c>
      <c r="D97" s="31">
        <v>45777</v>
      </c>
      <c r="E97" s="2" t="s">
        <v>1188</v>
      </c>
      <c r="F97" s="32">
        <v>45720.458414351851</v>
      </c>
      <c r="G97" s="2" t="s">
        <v>1199</v>
      </c>
      <c r="H97" s="2" t="s">
        <v>22</v>
      </c>
      <c r="I97" s="2" t="s">
        <v>1200</v>
      </c>
      <c r="J97" s="31">
        <v>45786</v>
      </c>
      <c r="K97" s="2" t="s">
        <v>1201</v>
      </c>
      <c r="L97" s="53">
        <v>45843</v>
      </c>
      <c r="M97" s="52"/>
      <c r="N97" s="52">
        <v>69.587363999999994</v>
      </c>
      <c r="O97" s="2">
        <f>Wet_Wipes[[#This Row],[Цена за 1 бр. в BGN]]*Wet_Wipes[[#This Row],[Поръчано Количество]]</f>
        <v>695.87363999999991</v>
      </c>
      <c r="P97" s="2"/>
      <c r="Q97" s="2"/>
      <c r="R97" s="2" t="str" cm="1">
        <f t="array" ref="R97">_xlfn.SWITCH(S97,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8" spans="1:18">
      <c r="A98" s="2" t="s">
        <v>1313</v>
      </c>
      <c r="B98" s="2">
        <v>50</v>
      </c>
      <c r="C98" s="2">
        <v>13</v>
      </c>
      <c r="D98" s="31">
        <v>45777</v>
      </c>
      <c r="E98" s="2" t="s">
        <v>1188</v>
      </c>
      <c r="F98" s="32">
        <v>45720.465671296297</v>
      </c>
      <c r="G98" s="2" t="s">
        <v>1199</v>
      </c>
      <c r="H98" s="2" t="s">
        <v>22</v>
      </c>
      <c r="I98" s="2" t="s">
        <v>1200</v>
      </c>
      <c r="J98" s="31">
        <v>45786</v>
      </c>
      <c r="K98" s="2" t="s">
        <v>1201</v>
      </c>
      <c r="L98" s="51">
        <v>45843</v>
      </c>
      <c r="M98" s="50"/>
      <c r="N98" s="50">
        <v>51.613562000000002</v>
      </c>
      <c r="O98" s="2">
        <f>Wet_Wipes[[#This Row],[Цена за 1 бр. в BGN]]*Wet_Wipes[[#This Row],[Поръчано Количество]]</f>
        <v>670.97630600000002</v>
      </c>
      <c r="P98" s="2"/>
      <c r="Q98" s="2"/>
      <c r="R98" s="2" t="str" cm="1">
        <f t="array" ref="R98">_xlfn.SWITCH(S98,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9" spans="1:18">
      <c r="A99" s="4" t="s">
        <v>1314</v>
      </c>
      <c r="B99" s="2">
        <v>1</v>
      </c>
      <c r="C99" s="2">
        <f>Wet_Wipes[[#This Row],[Желано количество]]</f>
        <v>1</v>
      </c>
      <c r="D99" s="31">
        <v>45722</v>
      </c>
      <c r="E99" s="2" t="s">
        <v>63</v>
      </c>
      <c r="F99" s="32">
        <v>45720.4684375</v>
      </c>
      <c r="G99" s="2"/>
      <c r="H99" s="2" t="s">
        <v>22</v>
      </c>
      <c r="I99" s="2" t="s">
        <v>58</v>
      </c>
      <c r="J99" s="31"/>
      <c r="K99" s="2"/>
      <c r="L99" s="53">
        <v>45843</v>
      </c>
      <c r="M99" s="52"/>
      <c r="N99" s="52">
        <v>81.889346000000003</v>
      </c>
      <c r="O99" s="2">
        <f>Wet_Wipes[[#This Row],[Цена за 1 бр. в BGN]]*Wet_Wipes[[#This Row],[Поръчано Количество]]</f>
        <v>81.889346000000003</v>
      </c>
      <c r="P99" s="2"/>
      <c r="Q99" s="2"/>
      <c r="R99" s="2" t="str" cm="1">
        <f t="array" ref="R99">_xlfn.SWITCH(S99,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0" spans="1:18">
      <c r="A100" s="2" t="s">
        <v>1315</v>
      </c>
      <c r="B100" s="2">
        <v>1</v>
      </c>
      <c r="C100" s="2"/>
      <c r="D100" s="31">
        <v>45730</v>
      </c>
      <c r="E100" s="2" t="s">
        <v>63</v>
      </c>
      <c r="F100" s="32">
        <v>45717.494560185187</v>
      </c>
      <c r="G100" s="20"/>
      <c r="H100" s="2" t="s">
        <v>30</v>
      </c>
      <c r="I100" s="2" t="s">
        <v>75</v>
      </c>
      <c r="J100" s="31"/>
      <c r="K100" s="2"/>
      <c r="L100" s="56"/>
      <c r="M100" s="59"/>
      <c r="N100" s="59"/>
      <c r="O100" s="2">
        <f>Wet_Wipes[[#This Row],[Цена за 1 бр. в BGN]]*Wet_Wipes[[#This Row],[Поръчано Количество]]</f>
        <v>0</v>
      </c>
      <c r="P100" s="2"/>
      <c r="Q100" s="2"/>
      <c r="R100" s="2" t="str" cm="1">
        <f t="array" ref="R100">_xlfn.SWITCH(S100,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1" spans="1:18">
      <c r="A101" s="2" t="s">
        <v>1316</v>
      </c>
      <c r="B101" s="2">
        <v>20</v>
      </c>
      <c r="C101" s="2"/>
      <c r="D101" s="31">
        <v>45730</v>
      </c>
      <c r="E101" s="2" t="s">
        <v>1186</v>
      </c>
      <c r="F101" s="32">
        <v>45717.504479166666</v>
      </c>
      <c r="G101" s="2"/>
      <c r="H101" s="2" t="s">
        <v>780</v>
      </c>
      <c r="I101" s="2" t="s">
        <v>51</v>
      </c>
      <c r="J101" s="31"/>
      <c r="K101" s="2"/>
      <c r="L101" s="56"/>
      <c r="M101" s="59"/>
      <c r="N101" s="59"/>
      <c r="O101" s="2">
        <f>Wet_Wipes[[#This Row],[Цена за 1 бр. в BGN]]*Wet_Wipes[[#This Row],[Поръчано Количество]]</f>
        <v>0</v>
      </c>
      <c r="P101" s="2"/>
      <c r="Q101" s="2"/>
      <c r="R101" s="2" t="str" cm="1">
        <f t="array" ref="R101">_xlfn.SWITCH(S101,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2" spans="1:18">
      <c r="A102" s="2" t="s">
        <v>1317</v>
      </c>
      <c r="B102" s="2">
        <v>3</v>
      </c>
      <c r="C102" s="2">
        <f>Wet_Wipes[[#This Row],[Желано количество]]</f>
        <v>3</v>
      </c>
      <c r="D102" s="31">
        <v>45777</v>
      </c>
      <c r="E102" s="2" t="s">
        <v>1188</v>
      </c>
      <c r="F102" s="32">
        <v>45726.304884259262</v>
      </c>
      <c r="G102" s="1" t="s">
        <v>111</v>
      </c>
      <c r="H102" s="2" t="s">
        <v>22</v>
      </c>
      <c r="I102" s="2" t="s">
        <v>112</v>
      </c>
      <c r="J102" s="31">
        <v>45765</v>
      </c>
      <c r="K102" s="2"/>
      <c r="L102" s="51">
        <v>45843</v>
      </c>
      <c r="M102" s="50"/>
      <c r="N102" s="50">
        <v>11.93038</v>
      </c>
      <c r="O102" s="2">
        <f>Wet_Wipes[[#This Row],[Цена за 1 бр. в BGN]]*Wet_Wipes[[#This Row],[Поръчано Количество]]</f>
        <v>35.791139999999999</v>
      </c>
      <c r="P102" s="2"/>
      <c r="Q102" s="2"/>
      <c r="R102" s="2" t="str" cm="1">
        <f t="array" ref="R102">_xlfn.SWITCH(S102,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3" spans="1:18">
      <c r="A103" s="2" t="s">
        <v>1318</v>
      </c>
      <c r="B103" s="2">
        <v>20</v>
      </c>
      <c r="C103" s="2"/>
      <c r="D103" s="31">
        <v>45730</v>
      </c>
      <c r="E103" s="2" t="s">
        <v>1186</v>
      </c>
      <c r="F103" s="32">
        <v>45717.504930555559</v>
      </c>
      <c r="G103" s="2"/>
      <c r="H103" s="2" t="s">
        <v>780</v>
      </c>
      <c r="I103" s="2" t="s">
        <v>51</v>
      </c>
      <c r="J103" s="31"/>
      <c r="K103" s="2"/>
      <c r="L103" s="56"/>
      <c r="M103" s="59"/>
      <c r="N103" s="59"/>
      <c r="O103" s="2">
        <f>Wet_Wipes[[#This Row],[Цена за 1 бр. в BGN]]*Wet_Wipes[[#This Row],[Поръчано Количество]]</f>
        <v>0</v>
      </c>
      <c r="P103" s="2"/>
      <c r="Q103" s="2"/>
      <c r="R103" s="2" t="str" cm="1">
        <f t="array" ref="R103">_xlfn.SWITCH(S103,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4" spans="1:18">
      <c r="A104" s="2" t="s">
        <v>1319</v>
      </c>
      <c r="B104" s="2">
        <v>1</v>
      </c>
      <c r="C104" s="2">
        <v>1</v>
      </c>
      <c r="D104" s="31">
        <v>45747</v>
      </c>
      <c r="E104" s="2" t="s">
        <v>1212</v>
      </c>
      <c r="F104" s="32">
        <v>45729.281458333331</v>
      </c>
      <c r="G104" s="20" t="s">
        <v>1263</v>
      </c>
      <c r="H104" s="2" t="s">
        <v>22</v>
      </c>
      <c r="I104" s="2" t="s">
        <v>46</v>
      </c>
      <c r="J104" s="31">
        <v>45742</v>
      </c>
      <c r="K104" s="2"/>
      <c r="L104" s="51">
        <v>45843</v>
      </c>
      <c r="M104" s="50"/>
      <c r="N104" s="50">
        <v>10.365740000000001</v>
      </c>
      <c r="O104" s="2">
        <f>Wet_Wipes[[#This Row],[Цена за 1 бр. в BGN]]*Wet_Wipes[[#This Row],[Поръчано Количество]]</f>
        <v>10.365740000000001</v>
      </c>
      <c r="P104" s="2"/>
      <c r="Q104" s="2"/>
      <c r="R104" s="2" t="str" cm="1">
        <f t="array" ref="R104">_xlfn.SWITCH(S104,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5" spans="1:18">
      <c r="A105" s="2" t="s">
        <v>1320</v>
      </c>
      <c r="B105" s="2">
        <v>1</v>
      </c>
      <c r="C105" s="2">
        <f>Wet_Wipes[[#This Row],[Желано количество]]</f>
        <v>1</v>
      </c>
      <c r="D105" s="31">
        <v>45747</v>
      </c>
      <c r="E105" s="2" t="s">
        <v>1212</v>
      </c>
      <c r="F105" s="32">
        <v>45729.28197916667</v>
      </c>
      <c r="G105" s="20" t="s">
        <v>1263</v>
      </c>
      <c r="H105" s="2" t="s">
        <v>22</v>
      </c>
      <c r="I105" s="2" t="s">
        <v>46</v>
      </c>
      <c r="J105" s="31">
        <v>45742</v>
      </c>
      <c r="K105" s="2"/>
      <c r="L105" s="53">
        <v>45843</v>
      </c>
      <c r="M105" s="52"/>
      <c r="N105" s="52">
        <v>10.365740000000001</v>
      </c>
      <c r="O105" s="2">
        <f>Wet_Wipes[[#This Row],[Цена за 1 бр. в BGN]]*Wet_Wipes[[#This Row],[Поръчано Количество]]</f>
        <v>10.365740000000001</v>
      </c>
      <c r="P105" s="2"/>
      <c r="Q105" s="2"/>
      <c r="R105" s="2" t="str" cm="1">
        <f t="array" ref="R105">_xlfn.SWITCH(S105,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6" spans="1:18">
      <c r="A106" s="2" t="s">
        <v>1321</v>
      </c>
      <c r="B106" s="2">
        <v>2</v>
      </c>
      <c r="C106" s="2"/>
      <c r="D106" s="31">
        <v>45723</v>
      </c>
      <c r="E106" s="2" t="s">
        <v>63</v>
      </c>
      <c r="F106" s="32">
        <v>45717.512453703705</v>
      </c>
      <c r="G106" s="2"/>
      <c r="H106" s="2" t="s">
        <v>22</v>
      </c>
      <c r="I106" s="2"/>
      <c r="J106" s="31"/>
      <c r="K106" s="2"/>
      <c r="L106" s="56">
        <v>45755</v>
      </c>
      <c r="M106" s="59"/>
      <c r="N106" s="59"/>
      <c r="O106" s="2">
        <f>Wet_Wipes[[#This Row],[Цена за 1 бр. в BGN]]*Wet_Wipes[[#This Row],[Поръчано Количество]]</f>
        <v>0</v>
      </c>
      <c r="P106" s="2"/>
      <c r="Q106" s="2"/>
      <c r="R106" s="2" t="str" cm="1">
        <f t="array" ref="R106">_xlfn.SWITCH(S106,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7" spans="1:18">
      <c r="A107" s="2" t="s">
        <v>1322</v>
      </c>
      <c r="B107" s="2">
        <v>50</v>
      </c>
      <c r="C107" s="2">
        <f>Wet_Wipes[[#This Row],[Желано количество]]</f>
        <v>50</v>
      </c>
      <c r="D107" s="31">
        <v>45736</v>
      </c>
      <c r="E107" s="2" t="s">
        <v>1212</v>
      </c>
      <c r="F107" s="32">
        <v>45730.480266203704</v>
      </c>
      <c r="G107" s="20" t="s">
        <v>174</v>
      </c>
      <c r="H107" s="2" t="s">
        <v>22</v>
      </c>
      <c r="I107" s="2" t="s">
        <v>58</v>
      </c>
      <c r="J107" s="31">
        <v>45692</v>
      </c>
      <c r="K107" s="2"/>
      <c r="L107" s="53">
        <v>45843</v>
      </c>
      <c r="M107" s="52"/>
      <c r="N107" s="52">
        <v>82.925920000000005</v>
      </c>
      <c r="O107" s="2">
        <f>Wet_Wipes[[#This Row],[Цена за 1 бр. в BGN]]*Wet_Wipes[[#This Row],[Поръчано Количество]]</f>
        <v>4146.2960000000003</v>
      </c>
      <c r="P107" s="2"/>
      <c r="Q107" s="2"/>
      <c r="R107" s="2" t="str" cm="1">
        <f t="array" ref="R107">_xlfn.SWITCH(S107,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8" spans="1:18">
      <c r="A108" s="2" t="s">
        <v>1323</v>
      </c>
      <c r="B108" s="2">
        <v>5</v>
      </c>
      <c r="C108" s="2"/>
      <c r="D108" s="31">
        <v>45723</v>
      </c>
      <c r="E108" s="2" t="s">
        <v>1188</v>
      </c>
      <c r="F108" s="32">
        <v>45717.513240740744</v>
      </c>
      <c r="G108" s="2"/>
      <c r="H108" s="2" t="s">
        <v>30</v>
      </c>
      <c r="I108" s="2" t="s">
        <v>1225</v>
      </c>
      <c r="J108" s="31"/>
      <c r="K108" s="2"/>
      <c r="L108" s="31">
        <v>45755</v>
      </c>
      <c r="M108" s="2"/>
      <c r="N108" s="2"/>
      <c r="O108" s="2">
        <f>Wet_Wipes[[#This Row],[Цена за 1 бр. в BGN]]*Wet_Wipes[[#This Row],[Поръчано Количество]]</f>
        <v>0</v>
      </c>
      <c r="P108" s="2"/>
      <c r="Q108" s="2"/>
      <c r="R108" s="2" t="str" cm="1">
        <f t="array" ref="R108">_xlfn.SWITCH(S108,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09" spans="1:18">
      <c r="A109" s="2" t="s">
        <v>1324</v>
      </c>
      <c r="B109" s="2">
        <v>1</v>
      </c>
      <c r="C109" s="2"/>
      <c r="D109" s="31">
        <v>45723</v>
      </c>
      <c r="E109" s="2" t="s">
        <v>1208</v>
      </c>
      <c r="F109" s="32">
        <v>45717.515416666669</v>
      </c>
      <c r="G109" s="2"/>
      <c r="H109" s="2" t="s">
        <v>30</v>
      </c>
      <c r="I109" s="2" t="s">
        <v>1325</v>
      </c>
      <c r="J109" s="31"/>
      <c r="K109" s="2"/>
      <c r="L109" s="31"/>
      <c r="M109" s="2"/>
      <c r="N109" s="2"/>
      <c r="O109" s="2">
        <f>Wet_Wipes[[#This Row],[Цена за 1 бр. в BGN]]*Wet_Wipes[[#This Row],[Поръчано Количество]]</f>
        <v>0</v>
      </c>
      <c r="P109" s="2"/>
      <c r="Q109" s="2"/>
      <c r="R109" s="2" t="str" cm="1">
        <f t="array" ref="R109">_xlfn.SWITCH(S109,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0" spans="1:18">
      <c r="A110" s="2" t="s">
        <v>1326</v>
      </c>
      <c r="B110" s="2">
        <v>2</v>
      </c>
      <c r="C110" s="2"/>
      <c r="D110" s="31">
        <v>45723</v>
      </c>
      <c r="E110" s="2" t="s">
        <v>1188</v>
      </c>
      <c r="F110" s="32">
        <v>45717.516585648147</v>
      </c>
      <c r="G110" s="2"/>
      <c r="H110" s="2" t="s">
        <v>30</v>
      </c>
      <c r="I110" s="2" t="s">
        <v>1225</v>
      </c>
      <c r="J110" s="31"/>
      <c r="K110" s="2"/>
      <c r="L110" s="31"/>
      <c r="M110" s="2"/>
      <c r="N110" s="2"/>
      <c r="O110" s="2">
        <f>Wet_Wipes[[#This Row],[Цена за 1 бр. в BGN]]*Wet_Wipes[[#This Row],[Поръчано Количество]]</f>
        <v>0</v>
      </c>
      <c r="P110" s="2"/>
      <c r="Q110" s="2"/>
      <c r="R110" s="2" t="str" cm="1">
        <f t="array" ref="R110">_xlfn.SWITCH(S110,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1" spans="1:18">
      <c r="A111" s="2" t="s">
        <v>1327</v>
      </c>
      <c r="B111" s="2">
        <v>20</v>
      </c>
      <c r="C111" s="2">
        <f>Wet_Wipes[[#This Row],[Желано количество]]</f>
        <v>20</v>
      </c>
      <c r="D111" s="31">
        <v>45777</v>
      </c>
      <c r="E111" s="2" t="s">
        <v>1188</v>
      </c>
      <c r="F111" s="32">
        <v>45730.538634259261</v>
      </c>
      <c r="G111" s="20"/>
      <c r="H111" s="2" t="s">
        <v>22</v>
      </c>
      <c r="I111" s="2" t="s">
        <v>1328</v>
      </c>
      <c r="J111" s="31">
        <v>45743</v>
      </c>
      <c r="K111" s="2"/>
      <c r="L111" s="31"/>
      <c r="M111" s="2"/>
      <c r="N111" s="2">
        <v>155</v>
      </c>
      <c r="O111" s="2">
        <f>Wet_Wipes[[#This Row],[Цена за 1 бр. в BGN]]*Wet_Wipes[[#This Row],[Поръчано Количество]]</f>
        <v>3100</v>
      </c>
      <c r="P111" s="2"/>
      <c r="Q111" s="2"/>
      <c r="R111" s="2" t="str" cm="1">
        <f t="array" ref="R111">_xlfn.SWITCH(S111,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2" spans="1:18">
      <c r="A112" s="2" t="s">
        <v>1329</v>
      </c>
      <c r="B112" s="2">
        <v>1</v>
      </c>
      <c r="C112" s="2">
        <f>Wet_Wipes[[#This Row],[Желано количество]]</f>
        <v>1</v>
      </c>
      <c r="D112" s="31">
        <v>45737</v>
      </c>
      <c r="E112" s="2" t="s">
        <v>63</v>
      </c>
      <c r="F112" s="32">
        <v>45736.267118055555</v>
      </c>
      <c r="G112" s="20" t="s">
        <v>174</v>
      </c>
      <c r="H112" s="2" t="s">
        <v>22</v>
      </c>
      <c r="I112" s="2" t="s">
        <v>58</v>
      </c>
      <c r="J112" s="31">
        <v>45692</v>
      </c>
      <c r="K112" s="2"/>
      <c r="L112" s="31">
        <v>45692</v>
      </c>
      <c r="M112" s="2"/>
      <c r="N112" s="2">
        <v>19.14</v>
      </c>
      <c r="O112" s="2">
        <f>Wet_Wipes[[#This Row],[Цена за 1 бр. в BGN]]*Wet_Wipes[[#This Row],[Поръчано Количество]]</f>
        <v>19.14</v>
      </c>
      <c r="P112" s="2"/>
      <c r="Q112" s="2"/>
      <c r="R112" s="2" t="str" cm="1">
        <f t="array" ref="R112">_xlfn.SWITCH(S112,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3" spans="1:18">
      <c r="A113" s="2" t="s">
        <v>1330</v>
      </c>
      <c r="B113" s="2">
        <v>1</v>
      </c>
      <c r="C113" s="2"/>
      <c r="D113" s="31">
        <v>45723</v>
      </c>
      <c r="E113" s="2" t="s">
        <v>1188</v>
      </c>
      <c r="F113" s="32">
        <v>45717.517337962963</v>
      </c>
      <c r="G113" s="2"/>
      <c r="H113" s="2" t="s">
        <v>30</v>
      </c>
      <c r="I113" s="2" t="s">
        <v>1225</v>
      </c>
      <c r="J113" s="31"/>
      <c r="K113" s="2"/>
      <c r="L113" s="31"/>
      <c r="M113" s="2"/>
      <c r="N113" s="2"/>
      <c r="O113" s="2">
        <f>Wet_Wipes[[#This Row],[Цена за 1 бр. в BGN]]*Wet_Wipes[[#This Row],[Поръчано Количество]]</f>
        <v>0</v>
      </c>
      <c r="P113" s="2"/>
      <c r="Q113" s="2"/>
      <c r="R113" s="2" t="str" cm="1">
        <f t="array" ref="R113">_xlfn.SWITCH(S113,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4" spans="1:18">
      <c r="A114" s="2" t="s">
        <v>1331</v>
      </c>
      <c r="B114" s="2">
        <v>2</v>
      </c>
      <c r="C114" s="2"/>
      <c r="D114" s="31">
        <v>45717</v>
      </c>
      <c r="E114" s="2" t="s">
        <v>1188</v>
      </c>
      <c r="F114" s="32">
        <v>45717.517800925925</v>
      </c>
      <c r="G114" s="2"/>
      <c r="H114" s="2" t="s">
        <v>780</v>
      </c>
      <c r="I114" s="2" t="s">
        <v>1200</v>
      </c>
      <c r="J114" s="31"/>
      <c r="K114" s="2"/>
      <c r="L114" s="31"/>
      <c r="M114" s="2"/>
      <c r="N114" s="2"/>
      <c r="O114" s="2">
        <f>Wet_Wipes[[#This Row],[Цена за 1 бр. в BGN]]*Wet_Wipes[[#This Row],[Поръчано Количество]]</f>
        <v>0</v>
      </c>
      <c r="P114" s="2"/>
      <c r="Q114" s="2"/>
      <c r="R114" s="2" t="str" cm="1">
        <f t="array" ref="R114">_xlfn.SWITCH(S114,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5" spans="1:18">
      <c r="A115" s="2" t="s">
        <v>1332</v>
      </c>
      <c r="B115" s="2">
        <v>2</v>
      </c>
      <c r="C115" s="2">
        <v>2</v>
      </c>
      <c r="D115" s="31">
        <v>45723</v>
      </c>
      <c r="E115" s="2" t="s">
        <v>1186</v>
      </c>
      <c r="F115" s="32">
        <v>45717.525925925926</v>
      </c>
      <c r="G115" s="2" t="s">
        <v>1219</v>
      </c>
      <c r="H115" s="2" t="s">
        <v>22</v>
      </c>
      <c r="I115" s="2" t="s">
        <v>1220</v>
      </c>
      <c r="J115" s="31"/>
      <c r="K115" s="2"/>
      <c r="L115" s="31">
        <v>45841</v>
      </c>
      <c r="M115" s="2">
        <v>2</v>
      </c>
      <c r="N115" s="35">
        <f>1.9558*765.2</f>
        <v>1496.57816</v>
      </c>
      <c r="O115" s="35">
        <f>Wet_Wipes[[#This Row],[Цена за 1 бр. в BGN]]*Wet_Wipes[[#This Row],[Поръчано Количество]]</f>
        <v>2993.1563200000001</v>
      </c>
      <c r="P115" s="2"/>
      <c r="Q115" s="2"/>
      <c r="R115" s="2" t="str" cm="1">
        <f t="array" ref="R115">_xlfn.SWITCH(S115,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6" spans="1:18">
      <c r="A116" s="2" t="s">
        <v>1333</v>
      </c>
      <c r="B116" s="2">
        <v>1</v>
      </c>
      <c r="C116" s="2">
        <f>Wet_Wipes[[#This Row],[Желано количество]]</f>
        <v>1</v>
      </c>
      <c r="D116" s="31">
        <v>45808</v>
      </c>
      <c r="E116" s="2" t="s">
        <v>1285</v>
      </c>
      <c r="F116" s="32">
        <v>45736.52921296296</v>
      </c>
      <c r="G116" s="20"/>
      <c r="H116" s="2" t="s">
        <v>22</v>
      </c>
      <c r="I116" s="2" t="s">
        <v>1334</v>
      </c>
      <c r="J116" s="31"/>
      <c r="K116" s="2"/>
      <c r="L116" s="31"/>
      <c r="M116" s="2"/>
      <c r="N116" s="2">
        <v>2140</v>
      </c>
      <c r="O116" s="2">
        <f>Wet_Wipes[[#This Row],[Цена за 1 бр. в BGN]]*Wet_Wipes[[#This Row],[Поръчано Количество]]</f>
        <v>2140</v>
      </c>
      <c r="P116" s="2"/>
      <c r="Q116" s="2"/>
      <c r="R116" s="2" t="str" cm="1">
        <f t="array" ref="R116">_xlfn.SWITCH(S116,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7" spans="1:18">
      <c r="A117" s="2" t="s">
        <v>1335</v>
      </c>
      <c r="B117" s="2">
        <v>4</v>
      </c>
      <c r="C117" s="2"/>
      <c r="D117" s="31">
        <v>45723</v>
      </c>
      <c r="E117" s="2" t="s">
        <v>1188</v>
      </c>
      <c r="F117" s="32">
        <v>45717.543900462966</v>
      </c>
      <c r="G117" s="2"/>
      <c r="H117" s="2" t="s">
        <v>30</v>
      </c>
      <c r="I117" s="2" t="s">
        <v>1325</v>
      </c>
      <c r="J117" s="31"/>
      <c r="K117" s="2"/>
      <c r="L117" s="31"/>
      <c r="M117" s="2"/>
      <c r="N117" s="2"/>
      <c r="O117" s="2">
        <f>Wet_Wipes[[#This Row],[Цена за 1 бр. в BGN]]*Wet_Wipes[[#This Row],[Поръчано Количество]]</f>
        <v>0</v>
      </c>
      <c r="P117" s="2"/>
      <c r="Q117" s="2"/>
      <c r="R117" s="2" t="str" cm="1">
        <f t="array" ref="R117">_xlfn.SWITCH(S117,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8" spans="1:18">
      <c r="A118" s="2" t="s">
        <v>1336</v>
      </c>
      <c r="B118" s="2">
        <v>2</v>
      </c>
      <c r="C118" s="2"/>
      <c r="D118" s="31">
        <v>45723</v>
      </c>
      <c r="E118" s="2" t="s">
        <v>1188</v>
      </c>
      <c r="F118" s="32">
        <v>45717.544236111113</v>
      </c>
      <c r="G118" s="2"/>
      <c r="H118" s="2" t="s">
        <v>30</v>
      </c>
      <c r="I118" s="2" t="s">
        <v>1325</v>
      </c>
      <c r="J118" s="31"/>
      <c r="K118" s="2"/>
      <c r="L118" s="31"/>
      <c r="M118" s="2"/>
      <c r="N118" s="2"/>
      <c r="O118" s="2">
        <f>Wet_Wipes[[#This Row],[Цена за 1 бр. в BGN]]*Wet_Wipes[[#This Row],[Поръчано Количество]]</f>
        <v>0</v>
      </c>
      <c r="P118" s="2"/>
      <c r="Q118" s="2"/>
      <c r="R118" s="2" t="str" cm="1">
        <f t="array" ref="R118">_xlfn.SWITCH(S118,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19" spans="1:18">
      <c r="A119" s="2" t="s">
        <v>1337</v>
      </c>
      <c r="B119" s="2">
        <v>2</v>
      </c>
      <c r="C119" s="2">
        <v>2</v>
      </c>
      <c r="D119" s="31">
        <v>45723</v>
      </c>
      <c r="E119" s="2" t="s">
        <v>1188</v>
      </c>
      <c r="F119" s="32">
        <v>45717.548564814817</v>
      </c>
      <c r="G119" s="2" t="s">
        <v>1252</v>
      </c>
      <c r="H119" s="2" t="s">
        <v>22</v>
      </c>
      <c r="I119" s="2" t="s">
        <v>46</v>
      </c>
      <c r="J119" s="31">
        <v>45795</v>
      </c>
      <c r="K119" s="2"/>
      <c r="L119" s="28">
        <v>45870</v>
      </c>
      <c r="M119" s="2">
        <v>2</v>
      </c>
      <c r="N119" s="2">
        <v>65</v>
      </c>
      <c r="O119" s="2">
        <f>Wet_Wipes[[#This Row],[Цена за 1 бр. в BGN]]*Wet_Wipes[[#This Row],[Поръчано Количество]]</f>
        <v>130</v>
      </c>
      <c r="P119" t="s">
        <v>1253</v>
      </c>
      <c r="Q119" s="2"/>
      <c r="R119" s="2" t="str" cm="1">
        <f t="array" ref="R119">_xlfn.SWITCH(S119,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0" spans="1:18">
      <c r="A120" s="2" t="s">
        <v>1338</v>
      </c>
      <c r="B120" s="2">
        <v>1</v>
      </c>
      <c r="C120" s="2">
        <f>Wet_Wipes[[#This Row],[Желано количество]]</f>
        <v>1</v>
      </c>
      <c r="D120" s="31">
        <v>45757</v>
      </c>
      <c r="E120" s="2" t="s">
        <v>1285</v>
      </c>
      <c r="F120" s="32">
        <v>45737.273831018516</v>
      </c>
      <c r="G120" s="20"/>
      <c r="H120" s="2" t="s">
        <v>22</v>
      </c>
      <c r="I120" s="2"/>
      <c r="J120" s="31"/>
      <c r="K120" s="2"/>
      <c r="L120" s="31"/>
      <c r="M120" s="2"/>
      <c r="N120" s="2"/>
      <c r="O120" s="2">
        <f>Wet_Wipes[[#This Row],[Цена за 1 бр. в BGN]]*Wet_Wipes[[#This Row],[Поръчано Количество]]</f>
        <v>0</v>
      </c>
      <c r="P120" s="2"/>
      <c r="Q120" s="2"/>
      <c r="R120" s="2" t="str" cm="1">
        <f t="array" ref="R120">_xlfn.SWITCH(S120,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1" spans="1:18">
      <c r="A121" s="2" t="s">
        <v>1339</v>
      </c>
      <c r="B121" s="2">
        <v>2</v>
      </c>
      <c r="C121" s="2"/>
      <c r="D121" s="31">
        <v>45723</v>
      </c>
      <c r="E121" s="2" t="s">
        <v>1188</v>
      </c>
      <c r="F121" s="32">
        <v>45717.552048611113</v>
      </c>
      <c r="G121" s="2"/>
      <c r="H121" s="2" t="s">
        <v>30</v>
      </c>
      <c r="I121" s="2"/>
      <c r="J121" s="31"/>
      <c r="K121" s="2"/>
      <c r="L121" s="31"/>
      <c r="M121" s="2"/>
      <c r="N121" s="2"/>
      <c r="O121" s="2">
        <f>Wet_Wipes[[#This Row],[Цена за 1 бр. в BGN]]*Wet_Wipes[[#This Row],[Поръчано Количество]]</f>
        <v>0</v>
      </c>
      <c r="P121" s="2"/>
      <c r="Q121" s="2"/>
      <c r="R121" s="2" t="str" cm="1">
        <f t="array" ref="R121">_xlfn.SWITCH(S121,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2" spans="1:18">
      <c r="A122" s="2" t="s">
        <v>1340</v>
      </c>
      <c r="B122" s="2">
        <v>50</v>
      </c>
      <c r="C122" s="2">
        <f>Wet_Wipes[[#This Row],[Желано количество]]</f>
        <v>50</v>
      </c>
      <c r="D122" s="31">
        <v>45777</v>
      </c>
      <c r="E122" s="2" t="s">
        <v>1215</v>
      </c>
      <c r="F122" s="32">
        <v>45741.323206018518</v>
      </c>
      <c r="G122" s="20" t="s">
        <v>174</v>
      </c>
      <c r="H122" s="2" t="s">
        <v>22</v>
      </c>
      <c r="I122" s="2" t="s">
        <v>58</v>
      </c>
      <c r="J122" s="31">
        <v>45692</v>
      </c>
      <c r="K122" s="2"/>
      <c r="L122" s="31">
        <v>45692</v>
      </c>
      <c r="M122" s="2"/>
      <c r="N122" s="2">
        <v>0.16539999999999999</v>
      </c>
      <c r="O122" s="2">
        <f>Wet_Wipes[[#This Row],[Цена за 1 бр. в BGN]]*Wet_Wipes[[#This Row],[Поръчано Количество]]</f>
        <v>8.27</v>
      </c>
      <c r="P122" s="2"/>
      <c r="Q122" s="2"/>
      <c r="R122" s="2" t="str" cm="1">
        <f t="array" ref="R122">_xlfn.SWITCH(S122,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3" spans="1:18">
      <c r="A123" s="48" t="s">
        <v>1341</v>
      </c>
      <c r="B123" s="2">
        <v>4</v>
      </c>
      <c r="C123" s="2">
        <f>Wet_Wipes[[#This Row],[Желано количество]]</f>
        <v>4</v>
      </c>
      <c r="D123" s="31">
        <v>45747</v>
      </c>
      <c r="E123" s="2" t="s">
        <v>1212</v>
      </c>
      <c r="F123" s="32">
        <v>45741.334444444445</v>
      </c>
      <c r="G123" s="20"/>
      <c r="H123" s="2" t="s">
        <v>22</v>
      </c>
      <c r="I123" s="2"/>
      <c r="J123" s="31"/>
      <c r="K123" s="2"/>
      <c r="L123" s="31">
        <v>45692</v>
      </c>
      <c r="M123" s="2"/>
      <c r="N123" s="2"/>
      <c r="O123" s="2">
        <f>Wet_Wipes[[#This Row],[Цена за 1 бр. в BGN]]*Wet_Wipes[[#This Row],[Поръчано Количество]]</f>
        <v>0</v>
      </c>
      <c r="P123" s="2"/>
      <c r="Q123" s="2"/>
      <c r="R123" s="2" t="str" cm="1">
        <f t="array" ref="R123">_xlfn.SWITCH(S123,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4" spans="1:18">
      <c r="A124" s="2" t="s">
        <v>1342</v>
      </c>
      <c r="B124" s="2">
        <v>1</v>
      </c>
      <c r="C124" s="2">
        <f>Wet_Wipes[[#This Row],[Желано количество]]</f>
        <v>1</v>
      </c>
      <c r="D124" s="31">
        <v>45760</v>
      </c>
      <c r="E124" s="2" t="s">
        <v>1208</v>
      </c>
      <c r="F124" s="32">
        <v>45741.445138888892</v>
      </c>
      <c r="G124" s="2" t="s">
        <v>1199</v>
      </c>
      <c r="H124" s="2" t="s">
        <v>22</v>
      </c>
      <c r="I124" s="2" t="s">
        <v>1200</v>
      </c>
      <c r="J124" s="31">
        <v>45786</v>
      </c>
      <c r="K124" s="2" t="s">
        <v>1201</v>
      </c>
      <c r="L124" s="53">
        <v>45843</v>
      </c>
      <c r="M124" s="52"/>
      <c r="N124" s="52">
        <v>81.889346000000003</v>
      </c>
      <c r="O124" s="2">
        <f>Wet_Wipes[[#This Row],[Цена за 1 бр. в BGN]]*Wet_Wipes[[#This Row],[Поръчано Количество]]</f>
        <v>81.889346000000003</v>
      </c>
      <c r="P124" s="2"/>
      <c r="Q124" s="2"/>
      <c r="R124" s="2" t="str" cm="1">
        <f t="array" ref="R124">_xlfn.SWITCH(S124,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5" spans="1:18">
      <c r="A125" s="2" t="s">
        <v>1343</v>
      </c>
      <c r="B125" s="2">
        <v>1</v>
      </c>
      <c r="C125" s="2">
        <f>Wet_Wipes[[#This Row],[Желано количество]]</f>
        <v>1</v>
      </c>
      <c r="D125" s="31">
        <v>45760</v>
      </c>
      <c r="E125" s="2" t="s">
        <v>1208</v>
      </c>
      <c r="F125" s="32">
        <v>45741.446342592593</v>
      </c>
      <c r="G125" s="2" t="s">
        <v>1199</v>
      </c>
      <c r="H125" s="2" t="s">
        <v>22</v>
      </c>
      <c r="I125" s="2" t="s">
        <v>1200</v>
      </c>
      <c r="J125" s="31">
        <v>45786</v>
      </c>
      <c r="K125" s="2" t="s">
        <v>1201</v>
      </c>
      <c r="L125" s="51">
        <v>45843</v>
      </c>
      <c r="M125" s="50"/>
      <c r="N125" s="50">
        <v>4.1462960000000004</v>
      </c>
      <c r="O125" s="2">
        <f>Wet_Wipes[[#This Row],[Цена за 1 бр. в BGN]]*Wet_Wipes[[#This Row],[Поръчано Количество]]</f>
        <v>4.1462960000000004</v>
      </c>
      <c r="P125" s="2"/>
      <c r="Q125" s="2"/>
      <c r="R125" s="2" t="str" cm="1">
        <f t="array" ref="R125">_xlfn.SWITCH(S125,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6" spans="1:18">
      <c r="A126" s="2" t="s">
        <v>1344</v>
      </c>
      <c r="B126" s="2">
        <v>1</v>
      </c>
      <c r="C126" s="2">
        <f>Wet_Wipes[[#This Row],[Желано количество]]</f>
        <v>1</v>
      </c>
      <c r="D126" s="31">
        <v>45760</v>
      </c>
      <c r="E126" s="2" t="s">
        <v>1208</v>
      </c>
      <c r="F126" s="32">
        <v>45741.447048611109</v>
      </c>
      <c r="G126" s="2" t="s">
        <v>1199</v>
      </c>
      <c r="H126" s="2" t="s">
        <v>22</v>
      </c>
      <c r="I126" s="2" t="s">
        <v>1200</v>
      </c>
      <c r="J126" s="31">
        <v>45786</v>
      </c>
      <c r="K126" s="2" t="s">
        <v>1201</v>
      </c>
      <c r="L126" s="53">
        <v>45843</v>
      </c>
      <c r="M126" s="52"/>
      <c r="N126" s="52">
        <v>5.8869579999999999</v>
      </c>
      <c r="O126" s="2">
        <f>Wet_Wipes[[#This Row],[Цена за 1 бр. в BGN]]*Wet_Wipes[[#This Row],[Поръчано Количество]]</f>
        <v>5.8869579999999999</v>
      </c>
      <c r="P126" s="2"/>
      <c r="Q126" s="2"/>
      <c r="R126" s="2" t="str" cm="1">
        <f t="array" ref="R126">_xlfn.SWITCH(S126,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7" spans="1:18">
      <c r="A127" s="2" t="s">
        <v>1345</v>
      </c>
      <c r="B127" s="2">
        <v>1</v>
      </c>
      <c r="C127" s="2">
        <f>Wet_Wipes[[#This Row],[Желано количество]]</f>
        <v>1</v>
      </c>
      <c r="D127" s="31">
        <v>45760</v>
      </c>
      <c r="E127" s="2" t="s">
        <v>1208</v>
      </c>
      <c r="F127" s="32">
        <v>45741.447731481479</v>
      </c>
      <c r="G127" s="2" t="s">
        <v>1199</v>
      </c>
      <c r="H127" s="2" t="s">
        <v>22</v>
      </c>
      <c r="I127" s="2" t="s">
        <v>1200</v>
      </c>
      <c r="J127" s="31">
        <v>45786</v>
      </c>
      <c r="K127" s="2" t="s">
        <v>1201</v>
      </c>
      <c r="L127" s="51">
        <v>45843</v>
      </c>
      <c r="M127" s="50"/>
      <c r="N127" s="50">
        <v>11.93038</v>
      </c>
      <c r="O127" s="2">
        <f>Wet_Wipes[[#This Row],[Цена за 1 бр. в BGN]]*Wet_Wipes[[#This Row],[Поръчано Количество]]</f>
        <v>11.93038</v>
      </c>
      <c r="P127" s="2"/>
      <c r="Q127" s="2"/>
      <c r="R127" s="2" t="str" cm="1">
        <f t="array" ref="R127">_xlfn.SWITCH(S127,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8" spans="1:18">
      <c r="A128" s="2" t="s">
        <v>1346</v>
      </c>
      <c r="B128" s="2">
        <v>1</v>
      </c>
      <c r="C128" s="2">
        <f>Wet_Wipes[[#This Row],[Желано количество]]</f>
        <v>1</v>
      </c>
      <c r="D128" s="31">
        <v>45760</v>
      </c>
      <c r="E128" s="2" t="s">
        <v>1208</v>
      </c>
      <c r="F128" s="32">
        <v>45741.448506944442</v>
      </c>
      <c r="G128" s="2" t="s">
        <v>1199</v>
      </c>
      <c r="H128" s="2" t="s">
        <v>22</v>
      </c>
      <c r="I128" s="2" t="s">
        <v>1200</v>
      </c>
      <c r="J128" s="31">
        <v>45786</v>
      </c>
      <c r="K128" s="2" t="s">
        <v>1201</v>
      </c>
      <c r="L128" s="53">
        <v>45843</v>
      </c>
      <c r="M128" s="52"/>
      <c r="N128" s="52">
        <v>81.889346000000003</v>
      </c>
      <c r="O128" s="2">
        <f>Wet_Wipes[[#This Row],[Цена за 1 бр. в BGN]]*Wet_Wipes[[#This Row],[Поръчано Количество]]</f>
        <v>81.889346000000003</v>
      </c>
      <c r="P128" s="2"/>
      <c r="Q128" s="2"/>
      <c r="R128" s="2" t="str" cm="1">
        <f t="array" ref="R128">_xlfn.SWITCH(S128,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29" spans="1:18">
      <c r="A129" s="2" t="s">
        <v>1347</v>
      </c>
      <c r="B129" s="2">
        <v>1</v>
      </c>
      <c r="C129" s="2">
        <f>Wet_Wipes[[#This Row],[Желано количество]]</f>
        <v>1</v>
      </c>
      <c r="D129" s="31">
        <v>45760</v>
      </c>
      <c r="E129" s="2" t="s">
        <v>1208</v>
      </c>
      <c r="F129" s="32">
        <v>45741.449641203704</v>
      </c>
      <c r="G129" s="2" t="s">
        <v>1199</v>
      </c>
      <c r="H129" s="2" t="s">
        <v>22</v>
      </c>
      <c r="I129" s="2" t="s">
        <v>1200</v>
      </c>
      <c r="J129" s="31">
        <v>45786</v>
      </c>
      <c r="K129" s="2" t="s">
        <v>1201</v>
      </c>
      <c r="L129" s="51">
        <v>45843</v>
      </c>
      <c r="M129" s="50"/>
      <c r="N129" s="50">
        <v>10.365740000000001</v>
      </c>
      <c r="O129" s="2">
        <f>Wet_Wipes[[#This Row],[Цена за 1 бр. в BGN]]*Wet_Wipes[[#This Row],[Поръчано Количество]]</f>
        <v>10.365740000000001</v>
      </c>
      <c r="P129" s="2"/>
      <c r="Q129" s="2"/>
      <c r="R129" s="2" t="str" cm="1">
        <f t="array" ref="R129">_xlfn.SWITCH(S129,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0" spans="1:18">
      <c r="A130" s="2" t="s">
        <v>1348</v>
      </c>
      <c r="B130" s="2">
        <v>1</v>
      </c>
      <c r="C130" s="2">
        <f>Wet_Wipes[[#This Row],[Желано количество]]</f>
        <v>1</v>
      </c>
      <c r="D130" s="31">
        <v>45760</v>
      </c>
      <c r="E130" s="2" t="s">
        <v>1208</v>
      </c>
      <c r="F130" s="32">
        <v>45741.450381944444</v>
      </c>
      <c r="G130" s="2" t="s">
        <v>1199</v>
      </c>
      <c r="H130" s="2" t="s">
        <v>22</v>
      </c>
      <c r="I130" s="2" t="s">
        <v>1200</v>
      </c>
      <c r="J130" s="31">
        <v>45786</v>
      </c>
      <c r="K130" s="2" t="s">
        <v>1201</v>
      </c>
      <c r="L130" s="53">
        <v>45843</v>
      </c>
      <c r="M130" s="52"/>
      <c r="N130" s="52">
        <v>10.365740000000001</v>
      </c>
      <c r="O130" s="2">
        <f>Wet_Wipes[[#This Row],[Цена за 1 бр. в BGN]]*Wet_Wipes[[#This Row],[Поръчано Количество]]</f>
        <v>10.365740000000001</v>
      </c>
      <c r="P130" s="2"/>
      <c r="Q130" s="2"/>
      <c r="R130" s="2" t="str" cm="1">
        <f t="array" ref="R130">_xlfn.SWITCH(S130,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1" spans="1:18">
      <c r="A131" s="2" t="s">
        <v>1349</v>
      </c>
      <c r="B131" s="2">
        <v>1</v>
      </c>
      <c r="C131" s="2">
        <f>Wet_Wipes[[#This Row],[Желано количество]]</f>
        <v>1</v>
      </c>
      <c r="D131" s="31">
        <v>45760</v>
      </c>
      <c r="E131" s="2" t="s">
        <v>1208</v>
      </c>
      <c r="F131" s="32">
        <v>45741.451226851852</v>
      </c>
      <c r="G131" s="2" t="s">
        <v>1199</v>
      </c>
      <c r="H131" s="2" t="s">
        <v>22</v>
      </c>
      <c r="I131" s="2" t="s">
        <v>1200</v>
      </c>
      <c r="J131" s="31">
        <v>45786</v>
      </c>
      <c r="K131" s="2" t="s">
        <v>1201</v>
      </c>
      <c r="L131" s="51">
        <v>45843</v>
      </c>
      <c r="M131" s="50"/>
      <c r="N131" s="50">
        <v>82.925920000000005</v>
      </c>
      <c r="O131" s="2">
        <f>Wet_Wipes[[#This Row],[Цена за 1 бр. в BGN]]*Wet_Wipes[[#This Row],[Поръчано Количество]]</f>
        <v>82.925920000000005</v>
      </c>
      <c r="P131" s="2"/>
      <c r="Q131" s="2"/>
      <c r="R131" s="2" t="str" cm="1">
        <f t="array" ref="R131">_xlfn.SWITCH(S131,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2" spans="1:18">
      <c r="A132" s="2" t="s">
        <v>1350</v>
      </c>
      <c r="B132" s="2">
        <v>1</v>
      </c>
      <c r="C132" s="2">
        <f>Wet_Wipes[[#This Row],[Желано количество]]</f>
        <v>1</v>
      </c>
      <c r="D132" s="31">
        <v>45760</v>
      </c>
      <c r="E132" s="2" t="s">
        <v>1208</v>
      </c>
      <c r="F132" s="32">
        <v>45741.4528125</v>
      </c>
      <c r="G132" s="2" t="s">
        <v>1199</v>
      </c>
      <c r="H132" s="2" t="s">
        <v>22</v>
      </c>
      <c r="I132" s="2" t="s">
        <v>1200</v>
      </c>
      <c r="J132" s="31">
        <v>45786</v>
      </c>
      <c r="K132" s="2" t="s">
        <v>1201</v>
      </c>
      <c r="L132" s="53">
        <v>45843</v>
      </c>
      <c r="M132" s="52"/>
      <c r="N132" s="52">
        <v>82.925920000000005</v>
      </c>
      <c r="O132" s="2">
        <f>Wet_Wipes[[#This Row],[Цена за 1 бр. в BGN]]*Wet_Wipes[[#This Row],[Поръчано Количество]]</f>
        <v>82.925920000000005</v>
      </c>
      <c r="P132" s="2"/>
      <c r="Q132" s="2"/>
      <c r="R132" s="2" t="str" cm="1">
        <f t="array" ref="R132">_xlfn.SWITCH(S132,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3" spans="1:18">
      <c r="A133" s="2" t="s">
        <v>1351</v>
      </c>
      <c r="B133" s="2">
        <v>1</v>
      </c>
      <c r="C133" s="2">
        <f>Wet_Wipes[[#This Row],[Желано количество]]</f>
        <v>1</v>
      </c>
      <c r="D133" s="31">
        <v>45760</v>
      </c>
      <c r="E133" s="2" t="s">
        <v>1285</v>
      </c>
      <c r="F133" s="32">
        <v>45741.454004629632</v>
      </c>
      <c r="G133" s="20"/>
      <c r="H133" s="2" t="s">
        <v>22</v>
      </c>
      <c r="I133" s="2"/>
      <c r="J133" s="31"/>
      <c r="K133" s="2"/>
      <c r="L133" s="31"/>
      <c r="M133" s="2"/>
      <c r="N133" s="2"/>
      <c r="O133" s="2">
        <f>Wet_Wipes[[#This Row],[Цена за 1 бр. в BGN]]*Wet_Wipes[[#This Row],[Поръчано Количество]]</f>
        <v>0</v>
      </c>
      <c r="P133" s="2"/>
      <c r="Q133" s="2"/>
      <c r="R133" s="2" t="str" cm="1">
        <f t="array" ref="R133">_xlfn.SWITCH(S133,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4" spans="1:18">
      <c r="A134" s="2" t="s">
        <v>1352</v>
      </c>
      <c r="B134" s="2">
        <v>4</v>
      </c>
      <c r="C134" s="2">
        <v>4</v>
      </c>
      <c r="D134" s="31">
        <v>45730</v>
      </c>
      <c r="E134" s="2" t="s">
        <v>63</v>
      </c>
      <c r="F134" s="32">
        <v>45717.567939814813</v>
      </c>
      <c r="G134" s="2">
        <v>120295241</v>
      </c>
      <c r="H134" s="2" t="s">
        <v>22</v>
      </c>
      <c r="I134" s="2" t="s">
        <v>192</v>
      </c>
      <c r="J134" s="31">
        <v>45761</v>
      </c>
      <c r="K134" s="2" t="s">
        <v>193</v>
      </c>
      <c r="L134" s="31"/>
      <c r="M134" s="2"/>
      <c r="N134" s="2"/>
      <c r="O134" s="2">
        <f>Wet_Wipes[[#This Row],[Цена за 1 бр. в BGN]]*Wet_Wipes[[#This Row],[Поръчано Количество]]</f>
        <v>0</v>
      </c>
      <c r="P134" s="2"/>
      <c r="Q134" s="2"/>
      <c r="R134" s="2" t="str" cm="1">
        <f t="array" ref="R134">_xlfn.SWITCH(S134,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5" spans="1:18">
      <c r="A135" s="2" t="s">
        <v>1353</v>
      </c>
      <c r="B135" s="2">
        <v>2</v>
      </c>
      <c r="C135" s="2">
        <f>Wet_Wipes[[#This Row],[Желано количество]]</f>
        <v>2</v>
      </c>
      <c r="D135" s="31">
        <v>45760</v>
      </c>
      <c r="E135" s="2" t="s">
        <v>1188</v>
      </c>
      <c r="F135" s="32">
        <v>45741.482094907406</v>
      </c>
      <c r="G135" s="20" t="s">
        <v>1354</v>
      </c>
      <c r="H135" s="2" t="s">
        <v>22</v>
      </c>
      <c r="I135" s="2" t="s">
        <v>88</v>
      </c>
      <c r="J135" s="31">
        <v>45744</v>
      </c>
      <c r="K135" s="2"/>
      <c r="L135" s="31">
        <v>45744</v>
      </c>
      <c r="M135" s="2"/>
      <c r="N135" s="2">
        <v>25</v>
      </c>
      <c r="O135" s="2">
        <f>Wet_Wipes[[#This Row],[Цена за 1 бр. в BGN]]*Wet_Wipes[[#This Row],[Поръчано Количество]]</f>
        <v>50</v>
      </c>
      <c r="P135" s="2"/>
      <c r="Q135" s="2"/>
      <c r="R135" s="2" t="str" cm="1">
        <f t="array" ref="R135">_xlfn.SWITCH(S135,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6" spans="1:18">
      <c r="A136" s="2" t="s">
        <v>1355</v>
      </c>
      <c r="B136" s="2">
        <v>5</v>
      </c>
      <c r="C136" s="2">
        <f>Wet_Wipes[[#This Row],[Желано количество]]</f>
        <v>5</v>
      </c>
      <c r="D136" s="31">
        <v>45760</v>
      </c>
      <c r="E136" s="2" t="s">
        <v>1188</v>
      </c>
      <c r="F136" s="32">
        <v>45741.482592592591</v>
      </c>
      <c r="G136" s="20" t="s">
        <v>1354</v>
      </c>
      <c r="H136" s="2" t="s">
        <v>22</v>
      </c>
      <c r="I136" s="2" t="s">
        <v>88</v>
      </c>
      <c r="J136" s="31">
        <v>45744</v>
      </c>
      <c r="K136" s="2"/>
      <c r="L136" s="31">
        <v>45744</v>
      </c>
      <c r="M136" s="2"/>
      <c r="N136" s="2">
        <v>5</v>
      </c>
      <c r="O136" s="2">
        <f>Wet_Wipes[[#This Row],[Цена за 1 бр. в BGN]]*Wet_Wipes[[#This Row],[Поръчано Количество]]</f>
        <v>25</v>
      </c>
      <c r="P136" s="2"/>
      <c r="Q136" s="2"/>
      <c r="R136" s="2" t="str" cm="1">
        <f t="array" ref="R136">_xlfn.SWITCH(S136,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7" spans="1:18">
      <c r="A137" s="2" t="s">
        <v>1356</v>
      </c>
      <c r="B137" s="2">
        <v>5</v>
      </c>
      <c r="C137" s="2">
        <f>Wet_Wipes[[#This Row],[Желано количество]]</f>
        <v>5</v>
      </c>
      <c r="D137" s="31">
        <v>45760</v>
      </c>
      <c r="E137" s="2" t="s">
        <v>1182</v>
      </c>
      <c r="F137" s="32">
        <v>45741.487511574072</v>
      </c>
      <c r="G137" s="20" t="s">
        <v>1354</v>
      </c>
      <c r="H137" s="2" t="s">
        <v>22</v>
      </c>
      <c r="I137" s="2" t="s">
        <v>88</v>
      </c>
      <c r="J137" s="31">
        <v>45744</v>
      </c>
      <c r="K137" s="2"/>
      <c r="L137" s="31">
        <v>45744</v>
      </c>
      <c r="M137" s="2"/>
      <c r="N137" s="2">
        <v>5</v>
      </c>
      <c r="O137" s="2">
        <f>Wet_Wipes[[#This Row],[Цена за 1 бр. в BGN]]*Wet_Wipes[[#This Row],[Поръчано Количество]]</f>
        <v>25</v>
      </c>
      <c r="P137" s="2"/>
      <c r="Q137" s="2"/>
      <c r="R137" s="2" t="str" cm="1">
        <f t="array" ref="R137">_xlfn.SWITCH(S137,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8" spans="1:18">
      <c r="A138" s="2" t="s">
        <v>1357</v>
      </c>
      <c r="B138" s="2">
        <v>2</v>
      </c>
      <c r="C138" s="2">
        <f>Wet_Wipes[[#This Row],[Желано количество]]</f>
        <v>2</v>
      </c>
      <c r="D138" s="31">
        <v>45760</v>
      </c>
      <c r="E138" s="2" t="s">
        <v>1186</v>
      </c>
      <c r="F138" s="32">
        <v>45741.487974537034</v>
      </c>
      <c r="G138" s="20" t="s">
        <v>1354</v>
      </c>
      <c r="H138" s="2" t="s">
        <v>22</v>
      </c>
      <c r="I138" s="2" t="s">
        <v>88</v>
      </c>
      <c r="J138" s="31">
        <v>45744</v>
      </c>
      <c r="K138" s="2"/>
      <c r="L138" s="31">
        <v>45744</v>
      </c>
      <c r="M138" s="2"/>
      <c r="N138" s="2">
        <v>25</v>
      </c>
      <c r="O138" s="2">
        <f>Wet_Wipes[[#This Row],[Цена за 1 бр. в BGN]]*Wet_Wipes[[#This Row],[Поръчано Количество]]</f>
        <v>50</v>
      </c>
      <c r="P138" s="2"/>
      <c r="Q138" s="2"/>
      <c r="R138" s="2" t="str" cm="1">
        <f t="array" ref="R138">_xlfn.SWITCH(S138,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39" spans="1:18">
      <c r="A139" s="2" t="s">
        <v>1358</v>
      </c>
      <c r="B139" s="2">
        <v>10</v>
      </c>
      <c r="C139" s="2">
        <f>Wet_Wipes[[#This Row],[Желано количество]]</f>
        <v>10</v>
      </c>
      <c r="D139" s="31">
        <v>45760</v>
      </c>
      <c r="E139" s="2" t="s">
        <v>1212</v>
      </c>
      <c r="F139" s="32">
        <v>45741.488495370373</v>
      </c>
      <c r="G139" s="20"/>
      <c r="H139" s="2" t="s">
        <v>22</v>
      </c>
      <c r="I139" s="2" t="s">
        <v>202</v>
      </c>
      <c r="J139" s="31">
        <v>45744</v>
      </c>
      <c r="K139" s="2"/>
      <c r="L139" s="31">
        <v>45744</v>
      </c>
      <c r="M139" s="2"/>
      <c r="N139" s="2"/>
      <c r="O139" s="2">
        <f>Wet_Wipes[[#This Row],[Цена за 1 бр. в BGN]]*Wet_Wipes[[#This Row],[Поръчано Количество]]</f>
        <v>0</v>
      </c>
      <c r="P139" s="2"/>
      <c r="Q139" s="2"/>
      <c r="R139" s="2" t="str" cm="1">
        <f t="array" ref="R139">_xlfn.SWITCH(S139,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0" spans="1:18">
      <c r="A140" s="2" t="s">
        <v>1359</v>
      </c>
      <c r="B140" s="2">
        <v>3</v>
      </c>
      <c r="C140" s="2">
        <f>Wet_Wipes[[#This Row],[Желано количество]]</f>
        <v>3</v>
      </c>
      <c r="D140" s="31">
        <v>45760</v>
      </c>
      <c r="E140" s="2" t="s">
        <v>1212</v>
      </c>
      <c r="F140" s="32">
        <v>45741.488912037035</v>
      </c>
      <c r="G140" s="20" t="s">
        <v>1354</v>
      </c>
      <c r="H140" s="2" t="s">
        <v>22</v>
      </c>
      <c r="I140" s="2" t="s">
        <v>88</v>
      </c>
      <c r="J140" s="31">
        <v>45744</v>
      </c>
      <c r="K140" s="2"/>
      <c r="L140" s="31">
        <v>45744</v>
      </c>
      <c r="M140" s="2"/>
      <c r="N140" s="2">
        <v>2.92</v>
      </c>
      <c r="O140" s="2">
        <f>Wet_Wipes[[#This Row],[Цена за 1 бр. в BGN]]*Wet_Wipes[[#This Row],[Поръчано Количество]]</f>
        <v>8.76</v>
      </c>
      <c r="P140" s="2"/>
      <c r="Q140" s="2"/>
      <c r="R140" s="2" t="str" cm="1">
        <f t="array" ref="R140">_xlfn.SWITCH(S140,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1" spans="1:18">
      <c r="A141" s="2" t="s">
        <v>1360</v>
      </c>
      <c r="B141" s="2">
        <v>1</v>
      </c>
      <c r="C141" s="2">
        <f>Wet_Wipes[[#This Row],[Желано количество]]</f>
        <v>1</v>
      </c>
      <c r="D141" s="31">
        <v>45744</v>
      </c>
      <c r="E141" s="2" t="s">
        <v>63</v>
      </c>
      <c r="F141" s="32">
        <v>45742.500474537039</v>
      </c>
      <c r="G141" s="20" t="s">
        <v>174</v>
      </c>
      <c r="H141" s="2" t="s">
        <v>22</v>
      </c>
      <c r="I141" s="2" t="s">
        <v>58</v>
      </c>
      <c r="J141" s="31">
        <v>45692</v>
      </c>
      <c r="K141" s="2"/>
      <c r="L141" s="31">
        <v>45692</v>
      </c>
      <c r="M141" s="2"/>
      <c r="N141" s="2">
        <v>267.22000000000003</v>
      </c>
      <c r="O141" s="2">
        <f>Wet_Wipes[[#This Row],[Цена за 1 бр. в BGN]]*Wet_Wipes[[#This Row],[Поръчано Количество]]</f>
        <v>267.22000000000003</v>
      </c>
      <c r="P141" s="2"/>
      <c r="Q141" s="2"/>
      <c r="R141" s="2" t="str" cm="1">
        <f t="array" ref="R141">_xlfn.SWITCH(S141,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2" spans="1:18">
      <c r="A142" s="2" t="s">
        <v>1361</v>
      </c>
      <c r="B142" s="2">
        <v>2</v>
      </c>
      <c r="C142" s="2"/>
      <c r="D142" s="31">
        <v>45723</v>
      </c>
      <c r="E142" s="2" t="s">
        <v>1188</v>
      </c>
      <c r="F142" s="32">
        <v>45717.568888888891</v>
      </c>
      <c r="G142" s="2"/>
      <c r="H142" s="2" t="s">
        <v>30</v>
      </c>
      <c r="I142" s="2"/>
      <c r="J142" s="31"/>
      <c r="K142" s="2"/>
      <c r="L142" s="31"/>
      <c r="M142" s="2"/>
      <c r="N142" s="2"/>
      <c r="O142" s="2">
        <f>Wet_Wipes[[#This Row],[Цена за 1 бр. в BGN]]*Wet_Wipes[[#This Row],[Поръчано Количество]]</f>
        <v>0</v>
      </c>
      <c r="P142" s="2"/>
      <c r="Q142" s="2"/>
      <c r="R142" s="2" t="str" cm="1">
        <f t="array" ref="R142">_xlfn.SWITCH(S142,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3" spans="1:18">
      <c r="A143" s="2" t="s">
        <v>1362</v>
      </c>
      <c r="B143" s="2">
        <v>1</v>
      </c>
      <c r="C143" s="2">
        <f>Wet_Wipes[[#This Row],[Желано количество]]</f>
        <v>1</v>
      </c>
      <c r="D143" s="31">
        <v>45727</v>
      </c>
      <c r="E143" s="2" t="s">
        <v>63</v>
      </c>
      <c r="F143" s="32">
        <v>45726.311261574076</v>
      </c>
      <c r="G143" s="20"/>
      <c r="H143" s="2" t="s">
        <v>30</v>
      </c>
      <c r="I143" s="2" t="s">
        <v>300</v>
      </c>
      <c r="J143" s="31"/>
      <c r="K143" s="2"/>
      <c r="L143" s="31"/>
      <c r="M143" s="2"/>
      <c r="N143" s="2"/>
      <c r="O143" s="2">
        <f>Wet_Wipes[[#This Row],[Цена за 1 бр. в BGN]]*Wet_Wipes[[#This Row],[Поръчано Количество]]</f>
        <v>0</v>
      </c>
      <c r="P143" s="2"/>
      <c r="Q143" s="2"/>
      <c r="R143" s="2" t="str" cm="1">
        <f t="array" ref="R143">_xlfn.SWITCH(S143,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4" spans="1:18">
      <c r="A144" s="48" t="s">
        <v>1363</v>
      </c>
      <c r="B144" s="2">
        <v>1</v>
      </c>
      <c r="C144" s="2">
        <v>1</v>
      </c>
      <c r="D144" s="31">
        <v>45750</v>
      </c>
      <c r="E144" s="2" t="s">
        <v>1186</v>
      </c>
      <c r="F144" s="32">
        <v>45743.450856481482</v>
      </c>
      <c r="G144" s="20"/>
      <c r="H144" s="2" t="s">
        <v>22</v>
      </c>
      <c r="I144" s="2"/>
      <c r="J144" s="31"/>
      <c r="K144" s="2"/>
      <c r="L144" s="31">
        <v>45692</v>
      </c>
      <c r="M144" s="2"/>
      <c r="N144" s="2"/>
      <c r="O144" s="2">
        <f>Wet_Wipes[[#This Row],[Цена за 1 бр. в BGN]]*Wet_Wipes[[#This Row],[Поръчано Количество]]</f>
        <v>0</v>
      </c>
      <c r="P144" s="2"/>
      <c r="Q144" s="2"/>
      <c r="R144" s="2" t="str" cm="1">
        <f t="array" ref="R144">_xlfn.SWITCH(S144,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5" spans="1:18">
      <c r="A145" s="48" t="s">
        <v>1364</v>
      </c>
      <c r="B145" s="2">
        <v>1</v>
      </c>
      <c r="C145" s="2">
        <f>Wet_Wipes[[#This Row],[Желано количество]]</f>
        <v>1</v>
      </c>
      <c r="D145" s="31">
        <v>45750</v>
      </c>
      <c r="E145" s="2" t="s">
        <v>1186</v>
      </c>
      <c r="F145" s="32">
        <v>45743.451608796298</v>
      </c>
      <c r="G145" s="20"/>
      <c r="H145" s="2" t="s">
        <v>22</v>
      </c>
      <c r="I145" s="2"/>
      <c r="J145" s="31"/>
      <c r="K145" s="2"/>
      <c r="L145" s="31"/>
      <c r="M145" s="2"/>
      <c r="N145" s="2"/>
      <c r="O145" s="2">
        <f>Wet_Wipes[[#This Row],[Цена за 1 бр. в BGN]]*Wet_Wipes[[#This Row],[Поръчано Количество]]</f>
        <v>0</v>
      </c>
      <c r="P145" s="2"/>
      <c r="Q145" s="2"/>
      <c r="R145" s="2" t="str" cm="1">
        <f t="array" ref="R145">_xlfn.SWITCH(S145,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6" spans="1:18">
      <c r="A146" s="48" t="s">
        <v>1365</v>
      </c>
      <c r="B146" s="2">
        <v>1</v>
      </c>
      <c r="C146" s="2">
        <f>Wet_Wipes[[#This Row],[Желано количество]]</f>
        <v>1</v>
      </c>
      <c r="D146" s="31">
        <v>45777</v>
      </c>
      <c r="E146" s="2" t="s">
        <v>1285</v>
      </c>
      <c r="F146" s="32">
        <v>45743.456099537034</v>
      </c>
      <c r="G146" s="20"/>
      <c r="H146" s="2" t="s">
        <v>22</v>
      </c>
      <c r="I146" s="2"/>
      <c r="J146" s="31"/>
      <c r="K146" s="2"/>
      <c r="L146" s="31"/>
      <c r="M146" s="2"/>
      <c r="N146" s="2"/>
      <c r="O146" s="2">
        <f>Wet_Wipes[[#This Row],[Цена за 1 бр. в BGN]]*Wet_Wipes[[#This Row],[Поръчано Количество]]</f>
        <v>0</v>
      </c>
      <c r="P146" s="2"/>
      <c r="Q146" s="2"/>
      <c r="R146" s="2" t="str" cm="1">
        <f t="array" ref="R146">_xlfn.SWITCH(S146,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7" spans="1:18">
      <c r="A147" s="2" t="s">
        <v>1366</v>
      </c>
      <c r="B147" s="2">
        <v>16</v>
      </c>
      <c r="C147" s="2">
        <v>8</v>
      </c>
      <c r="D147" s="31">
        <v>45744</v>
      </c>
      <c r="E147" s="2" t="s">
        <v>1188</v>
      </c>
      <c r="F147" s="32">
        <v>45717.553078703706</v>
      </c>
      <c r="G147" s="2"/>
      <c r="H147" s="4" t="s">
        <v>22</v>
      </c>
      <c r="I147" s="2" t="s">
        <v>1325</v>
      </c>
      <c r="J147" s="31">
        <v>45785</v>
      </c>
      <c r="K147" s="2"/>
      <c r="L147" s="31"/>
      <c r="M147" s="2"/>
      <c r="N147" s="2">
        <f>1.9558*6</f>
        <v>11.7348</v>
      </c>
      <c r="O147" s="2">
        <f>Wet_Wipes[[#This Row],[Цена за 1 бр. в BGN]]*Wet_Wipes[[#This Row],[Поръчано Количество]]</f>
        <v>93.878399999999999</v>
      </c>
      <c r="P147" s="2"/>
      <c r="Q147" s="2"/>
      <c r="R147" s="2" t="str" cm="1">
        <f t="array" ref="R147">_xlfn.SWITCH(S147,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8" spans="1:18">
      <c r="A148" s="2" t="s">
        <v>1367</v>
      </c>
      <c r="B148" s="2">
        <v>8</v>
      </c>
      <c r="C148" s="2">
        <v>4</v>
      </c>
      <c r="D148" s="31">
        <v>45744</v>
      </c>
      <c r="E148" s="2" t="s">
        <v>1188</v>
      </c>
      <c r="F148" s="32">
        <v>45717.553807870368</v>
      </c>
      <c r="G148" s="2"/>
      <c r="H148" s="4" t="s">
        <v>22</v>
      </c>
      <c r="I148" s="2" t="s">
        <v>1325</v>
      </c>
      <c r="J148" s="31">
        <v>45785</v>
      </c>
      <c r="K148" s="2"/>
      <c r="L148" s="31"/>
      <c r="M148" s="2"/>
      <c r="N148" s="2">
        <f>1.9558*19</f>
        <v>37.160200000000003</v>
      </c>
      <c r="O148" s="2">
        <f>Wet_Wipes[[#This Row],[Цена за 1 бр. в BGN]]*Wet_Wipes[[#This Row],[Поръчано Количество]]</f>
        <v>148.64080000000001</v>
      </c>
      <c r="P148" s="2"/>
      <c r="Q148" s="2"/>
      <c r="R148" s="2" t="str" cm="1">
        <f t="array" ref="R148">_xlfn.SWITCH(S148,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49" spans="1:18">
      <c r="A149" s="2" t="s">
        <v>1368</v>
      </c>
      <c r="B149" s="2">
        <v>1</v>
      </c>
      <c r="C149" s="2">
        <f>Wet_Wipes[[#This Row],[Желано количество]]</f>
        <v>1</v>
      </c>
      <c r="D149" s="31">
        <v>45808</v>
      </c>
      <c r="E149" s="2" t="s">
        <v>63</v>
      </c>
      <c r="F149" s="32">
        <v>45749.316608796296</v>
      </c>
      <c r="G149" s="20"/>
      <c r="H149" s="2" t="s">
        <v>22</v>
      </c>
      <c r="I149" s="2"/>
      <c r="J149" s="31"/>
      <c r="K149" s="2"/>
      <c r="L149" s="31"/>
      <c r="M149" s="2"/>
      <c r="N149" s="2"/>
      <c r="O149" s="2">
        <f>Wet_Wipes[[#This Row],[Цена за 1 бр. в BGN]]*Wet_Wipes[[#This Row],[Поръчано Количество]]</f>
        <v>0</v>
      </c>
      <c r="P149" s="2"/>
      <c r="Q149" s="2"/>
      <c r="R149" s="2" t="str" cm="1">
        <f t="array" ref="R149">_xlfn.SWITCH(S149,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0" spans="1:18">
      <c r="A150" s="2" t="s">
        <v>1369</v>
      </c>
      <c r="B150" s="2">
        <v>8</v>
      </c>
      <c r="C150" s="2">
        <v>4</v>
      </c>
      <c r="D150" s="31">
        <v>45744</v>
      </c>
      <c r="E150" s="2" t="s">
        <v>1188</v>
      </c>
      <c r="F150" s="32">
        <v>45717.554351851853</v>
      </c>
      <c r="G150" s="2"/>
      <c r="H150" s="4" t="s">
        <v>22</v>
      </c>
      <c r="I150" s="2" t="s">
        <v>1325</v>
      </c>
      <c r="J150" s="31">
        <v>45785</v>
      </c>
      <c r="K150" s="2"/>
      <c r="L150" s="31"/>
      <c r="M150" s="2"/>
      <c r="N150" s="2">
        <f>1.9558*6</f>
        <v>11.7348</v>
      </c>
      <c r="O150" s="2">
        <f>Wet_Wipes[[#This Row],[Цена за 1 бр. в BGN]]*Wet_Wipes[[#This Row],[Поръчано Количество]]</f>
        <v>46.9392</v>
      </c>
      <c r="P150" s="2"/>
      <c r="Q150" s="2"/>
      <c r="R150" s="2" t="str" cm="1">
        <f t="array" ref="R150">_xlfn.SWITCH(S150,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1" spans="1:18">
      <c r="A151" s="2" t="s">
        <v>1370</v>
      </c>
      <c r="B151" s="2">
        <v>8</v>
      </c>
      <c r="C151" s="2">
        <v>4</v>
      </c>
      <c r="D151" s="31">
        <v>45744</v>
      </c>
      <c r="E151" s="2" t="s">
        <v>1188</v>
      </c>
      <c r="F151" s="32">
        <v>45717.5546875</v>
      </c>
      <c r="G151" s="2"/>
      <c r="H151" s="4" t="s">
        <v>22</v>
      </c>
      <c r="I151" s="2" t="s">
        <v>1325</v>
      </c>
      <c r="J151" s="31">
        <v>45785</v>
      </c>
      <c r="K151" s="2"/>
      <c r="L151" s="31"/>
      <c r="M151" s="2"/>
      <c r="N151" s="2">
        <f>1.9558*6</f>
        <v>11.7348</v>
      </c>
      <c r="O151" s="2">
        <f>Wet_Wipes[[#This Row],[Цена за 1 бр. в BGN]]*Wet_Wipes[[#This Row],[Поръчано Количество]]</f>
        <v>46.9392</v>
      </c>
      <c r="P151" s="2"/>
      <c r="Q151" s="2"/>
      <c r="R151" s="2" t="str" cm="1">
        <f t="array" ref="R151">_xlfn.SWITCH(S151,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2" spans="1:18">
      <c r="A152" s="2" t="s">
        <v>1371</v>
      </c>
      <c r="B152" s="2">
        <v>30</v>
      </c>
      <c r="C152" s="2">
        <f>Wet_Wipes[[#This Row],[Желано количество]]</f>
        <v>30</v>
      </c>
      <c r="D152" s="31">
        <v>45757</v>
      </c>
      <c r="E152" s="2" t="s">
        <v>1188</v>
      </c>
      <c r="F152" s="32">
        <v>45751.433715277781</v>
      </c>
      <c r="G152" t="s">
        <v>100</v>
      </c>
      <c r="H152" s="2" t="s">
        <v>22</v>
      </c>
      <c r="I152" s="2" t="s">
        <v>101</v>
      </c>
      <c r="J152" s="31"/>
      <c r="K152" s="2"/>
      <c r="L152" s="31">
        <v>45791</v>
      </c>
      <c r="M152" s="2">
        <v>30</v>
      </c>
      <c r="N152" s="2">
        <v>5.85</v>
      </c>
      <c r="O152" s="2">
        <f>Wet_Wipes[[#This Row],[Цена за 1 бр. в BGN]]*Wet_Wipes[[#This Row],[Поръчано Количество]]</f>
        <v>175.5</v>
      </c>
      <c r="P152" s="2"/>
      <c r="Q152" s="2"/>
      <c r="R152" s="2" t="str" cm="1">
        <f t="array" ref="R152">_xlfn.SWITCH(S152,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3" spans="1:18">
      <c r="A153" s="2" t="s">
        <v>1372</v>
      </c>
      <c r="B153" s="2">
        <v>4</v>
      </c>
      <c r="C153" s="2">
        <f>Wet_Wipes[[#This Row],[Желано количество]]</f>
        <v>4</v>
      </c>
      <c r="D153" s="31">
        <v>45777</v>
      </c>
      <c r="E153" s="2" t="s">
        <v>1188</v>
      </c>
      <c r="F153" s="32">
        <v>45756.40152777778</v>
      </c>
      <c r="G153" t="s">
        <v>100</v>
      </c>
      <c r="H153" s="2" t="s">
        <v>22</v>
      </c>
      <c r="I153" s="2" t="s">
        <v>101</v>
      </c>
      <c r="J153" s="31"/>
      <c r="K153" s="2"/>
      <c r="L153" s="31">
        <v>45791</v>
      </c>
      <c r="M153" s="2">
        <v>4</v>
      </c>
      <c r="N153" s="2">
        <v>19.3</v>
      </c>
      <c r="O153" s="2">
        <f>Wet_Wipes[[#This Row],[Цена за 1 бр. в BGN]]*Wet_Wipes[[#This Row],[Поръчано Количество]]</f>
        <v>77.2</v>
      </c>
      <c r="P153" s="2"/>
      <c r="Q153" s="2"/>
      <c r="R153" s="2" t="str" cm="1">
        <f t="array" ref="R153">_xlfn.SWITCH(S153,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4" spans="1:18">
      <c r="A154" s="2" t="s">
        <v>1373</v>
      </c>
      <c r="B154" s="2">
        <v>8</v>
      </c>
      <c r="C154" s="2">
        <v>4</v>
      </c>
      <c r="D154" s="31">
        <v>45744</v>
      </c>
      <c r="E154" s="2" t="s">
        <v>1188</v>
      </c>
      <c r="F154" s="32">
        <v>45717.555023148147</v>
      </c>
      <c r="G154" s="2"/>
      <c r="H154" s="4" t="s">
        <v>22</v>
      </c>
      <c r="I154" s="2" t="s">
        <v>1325</v>
      </c>
      <c r="J154" s="31">
        <v>45785</v>
      </c>
      <c r="K154" s="2"/>
      <c r="L154" s="31"/>
      <c r="M154" s="2"/>
      <c r="N154" s="2">
        <f>1.9558*18</f>
        <v>35.2044</v>
      </c>
      <c r="O154" s="2">
        <f>Wet_Wipes[[#This Row],[Цена за 1 бр. в BGN]]*Wet_Wipes[[#This Row],[Поръчано Количество]]</f>
        <v>140.8176</v>
      </c>
      <c r="P154" s="2"/>
      <c r="Q154" s="2"/>
      <c r="R154" s="2" t="str" cm="1">
        <f t="array" ref="R154">_xlfn.SWITCH(S154,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5" spans="1:18">
      <c r="A155" s="2" t="s">
        <v>1374</v>
      </c>
      <c r="B155" s="2">
        <v>16</v>
      </c>
      <c r="C155" s="2">
        <v>8</v>
      </c>
      <c r="D155" s="31">
        <v>45744</v>
      </c>
      <c r="E155" s="2" t="s">
        <v>1188</v>
      </c>
      <c r="F155" s="32">
        <v>45717.555914351855</v>
      </c>
      <c r="G155" s="2"/>
      <c r="H155" s="4" t="s">
        <v>22</v>
      </c>
      <c r="I155" s="2" t="s">
        <v>1325</v>
      </c>
      <c r="J155" s="31">
        <v>45785</v>
      </c>
      <c r="K155" s="2"/>
      <c r="L155" s="31"/>
      <c r="M155" s="2"/>
      <c r="N155" s="2">
        <f>1.9558*258</f>
        <v>504.59640000000002</v>
      </c>
      <c r="O155" s="2">
        <f>Wet_Wipes[[#This Row],[Цена за 1 бр. в BGN]]*Wet_Wipes[[#This Row],[Поръчано Количество]]</f>
        <v>4036.7712000000001</v>
      </c>
      <c r="P155" s="2"/>
      <c r="Q155" s="2"/>
      <c r="R155" s="2" t="str" cm="1">
        <f t="array" ref="R155">_xlfn.SWITCH(S155,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6" spans="1:18">
      <c r="A156" s="2" t="s">
        <v>1375</v>
      </c>
      <c r="B156" s="2">
        <v>4</v>
      </c>
      <c r="C156" s="2">
        <v>2</v>
      </c>
      <c r="D156" s="31">
        <v>45744</v>
      </c>
      <c r="E156" s="2" t="s">
        <v>1188</v>
      </c>
      <c r="F156" s="32">
        <v>45717.556597222225</v>
      </c>
      <c r="G156" s="2"/>
      <c r="H156" s="4" t="s">
        <v>22</v>
      </c>
      <c r="I156" s="2" t="s">
        <v>1325</v>
      </c>
      <c r="J156" s="31">
        <v>45785</v>
      </c>
      <c r="K156" s="2"/>
      <c r="L156" s="31"/>
      <c r="M156" s="2"/>
      <c r="N156" s="2">
        <f>1.9558*5</f>
        <v>9.7789999999999999</v>
      </c>
      <c r="O156" s="2">
        <f>Wet_Wipes[[#This Row],[Цена за 1 бр. в BGN]]*Wet_Wipes[[#This Row],[Поръчано Количество]]</f>
        <v>19.558</v>
      </c>
      <c r="P156" s="2"/>
      <c r="Q156" s="2"/>
      <c r="R156" s="2" t="str" cm="1">
        <f t="array" ref="R156">_xlfn.SWITCH(S156,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7" spans="1:18">
      <c r="A157" s="2" t="s">
        <v>1376</v>
      </c>
      <c r="B157" s="2">
        <v>4</v>
      </c>
      <c r="C157" s="2">
        <v>2</v>
      </c>
      <c r="D157" s="31">
        <v>45744</v>
      </c>
      <c r="E157" s="2" t="s">
        <v>1188</v>
      </c>
      <c r="F157" s="32">
        <v>45717.557118055556</v>
      </c>
      <c r="G157" s="2"/>
      <c r="H157" s="4" t="s">
        <v>22</v>
      </c>
      <c r="I157" s="2" t="s">
        <v>1325</v>
      </c>
      <c r="J157" s="31">
        <v>45785</v>
      </c>
      <c r="K157" s="2"/>
      <c r="L157" s="31"/>
      <c r="M157" s="2"/>
      <c r="N157" s="2">
        <f>1.9558*7</f>
        <v>13.6906</v>
      </c>
      <c r="O157" s="2">
        <f>Wet_Wipes[[#This Row],[Цена за 1 бр. в BGN]]*Wet_Wipes[[#This Row],[Поръчано Количество]]</f>
        <v>27.3812</v>
      </c>
      <c r="P157" s="2"/>
      <c r="Q157" s="2"/>
      <c r="R157" s="2" t="str" cm="1">
        <f t="array" ref="R157">_xlfn.SWITCH(S157,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8" spans="1:18">
      <c r="A158" s="2" t="s">
        <v>1377</v>
      </c>
      <c r="B158" s="2">
        <v>2</v>
      </c>
      <c r="C158" s="2">
        <v>1</v>
      </c>
      <c r="D158" s="31">
        <v>45744</v>
      </c>
      <c r="E158" s="2" t="s">
        <v>1188</v>
      </c>
      <c r="F158" s="32">
        <v>45717.557800925926</v>
      </c>
      <c r="G158" s="2"/>
      <c r="H158" s="4" t="s">
        <v>22</v>
      </c>
      <c r="I158" s="2" t="s">
        <v>1325</v>
      </c>
      <c r="J158" s="31">
        <v>45785</v>
      </c>
      <c r="K158" s="2"/>
      <c r="L158" s="31"/>
      <c r="M158" s="2"/>
      <c r="N158" s="2">
        <f>1.9558*4000</f>
        <v>7823.2</v>
      </c>
      <c r="O158" s="2">
        <f>Wet_Wipes[[#This Row],[Цена за 1 бр. в BGN]]*Wet_Wipes[[#This Row],[Поръчано Количество]]</f>
        <v>7823.2</v>
      </c>
      <c r="P158" s="2"/>
      <c r="Q158" s="2"/>
      <c r="R158" s="2" t="str" cm="1">
        <f t="array" ref="R158">_xlfn.SWITCH(S158,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59" spans="1:18">
      <c r="A159" s="2" t="s">
        <v>1378</v>
      </c>
      <c r="B159" s="2">
        <v>2</v>
      </c>
      <c r="C159" s="2">
        <v>1</v>
      </c>
      <c r="D159" s="31">
        <v>45744</v>
      </c>
      <c r="E159" s="2" t="s">
        <v>1188</v>
      </c>
      <c r="F159" s="32">
        <v>45717.558622685188</v>
      </c>
      <c r="G159" s="2"/>
      <c r="H159" s="4" t="s">
        <v>22</v>
      </c>
      <c r="I159" s="2" t="s">
        <v>1325</v>
      </c>
      <c r="J159" s="31">
        <v>45785</v>
      </c>
      <c r="K159" s="2"/>
      <c r="L159" s="31"/>
      <c r="M159" s="2"/>
      <c r="N159" s="2">
        <f>1.9558*4000</f>
        <v>7823.2</v>
      </c>
      <c r="O159" s="2">
        <f>Wet_Wipes[[#This Row],[Цена за 1 бр. в BGN]]*Wet_Wipes[[#This Row],[Поръчано Количество]]</f>
        <v>7823.2</v>
      </c>
      <c r="P159" s="2"/>
      <c r="Q159" s="2"/>
      <c r="R159" s="2" t="str" cm="1">
        <f t="array" ref="R159">_xlfn.SWITCH(S159,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0" spans="1:18">
      <c r="A160" s="40" t="s">
        <v>1379</v>
      </c>
      <c r="B160" s="40">
        <v>0</v>
      </c>
      <c r="C160" s="40"/>
      <c r="D160" s="41"/>
      <c r="E160" s="40" t="s">
        <v>1188</v>
      </c>
      <c r="F160" s="42">
        <v>45717.560300925928</v>
      </c>
      <c r="G160" s="40"/>
      <c r="H160" s="40" t="s">
        <v>780</v>
      </c>
      <c r="I160" s="40" t="s">
        <v>1325</v>
      </c>
      <c r="J160" s="41"/>
      <c r="K160" s="40"/>
      <c r="L160" s="41"/>
      <c r="M160" s="40"/>
      <c r="N160" s="40"/>
      <c r="O160" s="40">
        <f>Wet_Wipes[[#This Row],[Цена за 1 бр. в BGN]]*Wet_Wipes[[#This Row],[Поръчано Количество]]</f>
        <v>0</v>
      </c>
      <c r="P160" s="40"/>
      <c r="Q160" s="40"/>
      <c r="R160" s="40" t="str" cm="1">
        <f t="array" ref="R160">_xlfn.SWITCH(S160,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1" spans="1:18">
      <c r="A161" s="2" t="s">
        <v>1380</v>
      </c>
      <c r="B161" s="2">
        <v>100</v>
      </c>
      <c r="C161" s="2">
        <f>Wet_Wipes[[#This Row],[Желано количество]]</f>
        <v>100</v>
      </c>
      <c r="D161" s="31">
        <v>45777</v>
      </c>
      <c r="E161" s="2" t="s">
        <v>1285</v>
      </c>
      <c r="F161" s="32">
        <v>45758.430034722223</v>
      </c>
      <c r="G161" s="20"/>
      <c r="H161" s="2" t="s">
        <v>22</v>
      </c>
      <c r="I161" s="2"/>
      <c r="J161" s="31"/>
      <c r="K161" s="2"/>
      <c r="L161" s="31"/>
      <c r="M161" s="2"/>
      <c r="N161" s="2"/>
      <c r="O161" s="2">
        <f>Wet_Wipes[[#This Row],[Цена за 1 бр. в BGN]]*Wet_Wipes[[#This Row],[Поръчано Количество]]</f>
        <v>0</v>
      </c>
      <c r="P161" s="2"/>
      <c r="Q161" s="2"/>
      <c r="R161" s="2" t="str" cm="1">
        <f t="array" ref="R161">_xlfn.SWITCH(S161,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2" spans="1:18">
      <c r="A162" s="40" t="s">
        <v>1381</v>
      </c>
      <c r="B162" s="40">
        <v>0</v>
      </c>
      <c r="C162" s="40"/>
      <c r="D162" s="41"/>
      <c r="E162" s="40" t="s">
        <v>1188</v>
      </c>
      <c r="F162" s="42">
        <v>45717.560636574075</v>
      </c>
      <c r="G162" s="40"/>
      <c r="H162" s="40" t="s">
        <v>780</v>
      </c>
      <c r="I162" s="40" t="s">
        <v>1325</v>
      </c>
      <c r="J162" s="41"/>
      <c r="K162" s="40"/>
      <c r="L162" s="41"/>
      <c r="M162" s="40"/>
      <c r="N162" s="40"/>
      <c r="O162" s="40">
        <f>Wet_Wipes[[#This Row],[Цена за 1 бр. в BGN]]*Wet_Wipes[[#This Row],[Поръчано Количество]]</f>
        <v>0</v>
      </c>
      <c r="P162" s="40"/>
      <c r="Q162" s="40"/>
      <c r="R162" s="40" t="str" cm="1">
        <f t="array" ref="R162">_xlfn.SWITCH(S162,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3" spans="1:18">
      <c r="A163" s="2" t="s">
        <v>1382</v>
      </c>
      <c r="B163" s="2">
        <v>4</v>
      </c>
      <c r="C163" s="2"/>
      <c r="D163" s="31">
        <v>45744</v>
      </c>
      <c r="E163" s="2" t="s">
        <v>1188</v>
      </c>
      <c r="F163" s="32">
        <v>45717.561886574076</v>
      </c>
      <c r="G163" s="2"/>
      <c r="H163" s="2" t="s">
        <v>30</v>
      </c>
      <c r="I163" s="2" t="s">
        <v>1325</v>
      </c>
      <c r="J163" s="31"/>
      <c r="K163" s="2"/>
      <c r="L163" s="31"/>
      <c r="M163" s="2"/>
      <c r="N163" s="2"/>
      <c r="O163" s="2">
        <f>Wet_Wipes[[#This Row],[Цена за 1 бр. в BGN]]*Wet_Wipes[[#This Row],[Поръчано Количество]]</f>
        <v>0</v>
      </c>
      <c r="P163" s="2"/>
      <c r="Q163" s="2"/>
      <c r="R163" s="2" t="str" cm="1">
        <f t="array" ref="R163">_xlfn.SWITCH(S163,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4" spans="1:18">
      <c r="A164" s="2" t="s">
        <v>1383</v>
      </c>
      <c r="B164" s="2">
        <v>5</v>
      </c>
      <c r="C164" s="2"/>
      <c r="D164" s="31">
        <v>45744</v>
      </c>
      <c r="E164" s="2" t="s">
        <v>1188</v>
      </c>
      <c r="F164" s="32">
        <v>45717.56322916667</v>
      </c>
      <c r="G164" s="2"/>
      <c r="H164" s="2" t="s">
        <v>30</v>
      </c>
      <c r="I164" s="2" t="s">
        <v>1225</v>
      </c>
      <c r="J164" s="31"/>
      <c r="K164" s="2"/>
      <c r="L164" s="31"/>
      <c r="M164" s="2"/>
      <c r="N164" s="2"/>
      <c r="O164" s="2">
        <f>Wet_Wipes[[#This Row],[Цена за 1 бр. в BGN]]*Wet_Wipes[[#This Row],[Поръчано Количество]]</f>
        <v>0</v>
      </c>
      <c r="P164" s="2"/>
      <c r="Q164" s="2"/>
      <c r="R164" s="2" t="str" cm="1">
        <f t="array" ref="R164">_xlfn.SWITCH(S164,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5" spans="1:18">
      <c r="A165" s="2" t="s">
        <v>1384</v>
      </c>
      <c r="B165" s="2">
        <v>2</v>
      </c>
      <c r="C165" s="2"/>
      <c r="D165" s="31">
        <v>45737</v>
      </c>
      <c r="E165" s="2" t="s">
        <v>1285</v>
      </c>
      <c r="F165" s="32">
        <v>45717.564652777779</v>
      </c>
      <c r="G165" s="2"/>
      <c r="H165" s="2" t="s">
        <v>30</v>
      </c>
      <c r="I165" s="2"/>
      <c r="J165" s="31"/>
      <c r="K165" s="2"/>
      <c r="L165" s="31"/>
      <c r="M165" s="2"/>
      <c r="N165" s="2"/>
      <c r="O165" s="2">
        <f>Wet_Wipes[[#This Row],[Цена за 1 бр. в BGN]]*Wet_Wipes[[#This Row],[Поръчано Количество]]</f>
        <v>0</v>
      </c>
      <c r="P165" s="2"/>
      <c r="Q165" s="2"/>
      <c r="R165" s="2" t="str" cm="1">
        <f t="array" ref="R165">_xlfn.SWITCH(S165,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6" spans="1:18" ht="30">
      <c r="A166" s="4" t="s">
        <v>1385</v>
      </c>
      <c r="B166" s="2">
        <v>10</v>
      </c>
      <c r="C166" s="2"/>
      <c r="D166" s="31">
        <v>45737</v>
      </c>
      <c r="E166" s="2" t="s">
        <v>1188</v>
      </c>
      <c r="F166" s="32">
        <v>45717.568379629629</v>
      </c>
      <c r="G166" s="2"/>
      <c r="H166" s="2" t="s">
        <v>30</v>
      </c>
      <c r="I166" s="2" t="s">
        <v>48</v>
      </c>
      <c r="J166" s="31"/>
      <c r="K166" s="2"/>
      <c r="L166" s="31"/>
      <c r="M166" s="2"/>
      <c r="N166" s="2"/>
      <c r="O166" s="2">
        <f>Wet_Wipes[[#This Row],[Цена за 1 бр. в BGN]]*Wet_Wipes[[#This Row],[Поръчано Количество]]</f>
        <v>0</v>
      </c>
      <c r="P166" s="2"/>
      <c r="Q166" s="2"/>
      <c r="R166" s="2" t="str" cm="1">
        <f t="array" ref="R166">_xlfn.SWITCH(S166,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7" spans="1:18">
      <c r="A167" s="2" t="s">
        <v>1386</v>
      </c>
      <c r="B167" s="2">
        <v>4</v>
      </c>
      <c r="C167" s="2"/>
      <c r="D167" s="31">
        <v>45737</v>
      </c>
      <c r="E167" s="2" t="s">
        <v>1285</v>
      </c>
      <c r="F167" s="32">
        <v>45717.569386574076</v>
      </c>
      <c r="G167" s="2"/>
      <c r="H167" s="2" t="s">
        <v>30</v>
      </c>
      <c r="I167" s="2"/>
      <c r="J167" s="31"/>
      <c r="K167" s="2"/>
      <c r="L167" s="31"/>
      <c r="M167" s="2"/>
      <c r="N167" s="2"/>
      <c r="O167" s="2">
        <f>Wet_Wipes[[#This Row],[Цена за 1 бр. в BGN]]*Wet_Wipes[[#This Row],[Поръчано Количество]]</f>
        <v>0</v>
      </c>
      <c r="P167" s="2"/>
      <c r="Q167" s="2"/>
      <c r="R167" s="2" t="str" cm="1">
        <f t="array" ref="R167">_xlfn.SWITCH(S167,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8" spans="1:18">
      <c r="A168" s="2" t="s">
        <v>1387</v>
      </c>
      <c r="B168" s="2">
        <v>1</v>
      </c>
      <c r="C168" s="2"/>
      <c r="D168" s="31">
        <v>45744</v>
      </c>
      <c r="E168" s="2" t="s">
        <v>1285</v>
      </c>
      <c r="F168" s="32">
        <v>45717.570497685185</v>
      </c>
      <c r="G168" s="2"/>
      <c r="H168" s="2" t="s">
        <v>30</v>
      </c>
      <c r="I168" s="2"/>
      <c r="J168" s="31"/>
      <c r="K168" s="2"/>
      <c r="L168" s="31">
        <v>45755</v>
      </c>
      <c r="M168" s="2"/>
      <c r="N168" s="2"/>
      <c r="O168" s="2">
        <f>Wet_Wipes[[#This Row],[Цена за 1 бр. в BGN]]*Wet_Wipes[[#This Row],[Поръчано Количество]]</f>
        <v>0</v>
      </c>
      <c r="P168" s="2"/>
      <c r="Q168" s="2"/>
      <c r="R168" s="2" t="str" cm="1">
        <f t="array" ref="R168">_xlfn.SWITCH(S168,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69" spans="1:18">
      <c r="A169" s="2" t="s">
        <v>1388</v>
      </c>
      <c r="B169" s="2">
        <v>2</v>
      </c>
      <c r="C169" s="2">
        <f>Wet_Wipes[[#This Row],[Желано количество]]</f>
        <v>2</v>
      </c>
      <c r="D169" s="31">
        <v>45777</v>
      </c>
      <c r="E169" s="2" t="s">
        <v>1188</v>
      </c>
      <c r="F169" s="32">
        <v>45720.449502314812</v>
      </c>
      <c r="G169" s="2"/>
      <c r="H169" s="2" t="s">
        <v>30</v>
      </c>
      <c r="I169" s="2" t="s">
        <v>883</v>
      </c>
      <c r="J169" s="31"/>
      <c r="K169" s="2"/>
      <c r="L169" s="31"/>
      <c r="M169" s="2"/>
      <c r="N169" s="2"/>
      <c r="O169" s="2">
        <f>Wet_Wipes[[#This Row],[Цена за 1 бр. в BGN]]*Wet_Wipes[[#This Row],[Поръчано Количество]]</f>
        <v>0</v>
      </c>
      <c r="P169" s="2"/>
      <c r="Q169" s="2"/>
      <c r="R169" s="2" t="str" cm="1">
        <f t="array" ref="R169">_xlfn.SWITCH(S169,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0" spans="1:18">
      <c r="A170" s="2" t="s">
        <v>1389</v>
      </c>
      <c r="B170" s="2">
        <v>10</v>
      </c>
      <c r="C170" s="2">
        <f>Wet_Wipes[[#This Row],[Желано количество]]</f>
        <v>10</v>
      </c>
      <c r="D170" s="31">
        <v>45747</v>
      </c>
      <c r="E170" s="2" t="s">
        <v>1212</v>
      </c>
      <c r="F170" s="32">
        <v>45726.302083333336</v>
      </c>
      <c r="G170" s="20"/>
      <c r="H170" s="2" t="s">
        <v>30</v>
      </c>
      <c r="I170" s="2" t="s">
        <v>31</v>
      </c>
      <c r="J170" s="31"/>
      <c r="K170" s="2"/>
      <c r="L170" s="55">
        <v>45843</v>
      </c>
      <c r="M170" s="58"/>
      <c r="N170" s="58">
        <v>4.1462960000000004</v>
      </c>
      <c r="O170" s="2">
        <f>Wet_Wipes[[#This Row],[Цена за 1 бр. в BGN]]*Wet_Wipes[[#This Row],[Поръчано Количество]]</f>
        <v>41.462960000000002</v>
      </c>
      <c r="P170" s="2"/>
      <c r="Q170" s="2"/>
      <c r="R170" s="2" t="str" cm="1">
        <f t="array" ref="R170">_xlfn.SWITCH(S170,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1" spans="1:18">
      <c r="A171" s="2" t="s">
        <v>1390</v>
      </c>
      <c r="B171" s="2">
        <v>10</v>
      </c>
      <c r="C171" s="2">
        <f>Wet_Wipes[[#This Row],[Желано количество]]</f>
        <v>10</v>
      </c>
      <c r="D171" s="31">
        <v>45747</v>
      </c>
      <c r="E171" s="2" t="s">
        <v>1212</v>
      </c>
      <c r="F171" s="32">
        <v>45726.303206018521</v>
      </c>
      <c r="G171" s="20"/>
      <c r="H171" s="2" t="s">
        <v>30</v>
      </c>
      <c r="I171" s="2" t="s">
        <v>31</v>
      </c>
      <c r="J171" s="31"/>
      <c r="K171" s="2"/>
      <c r="L171" s="57">
        <v>45843</v>
      </c>
      <c r="M171" s="54"/>
      <c r="N171" s="54">
        <v>5.8869579999999999</v>
      </c>
      <c r="O171" s="2">
        <f>Wet_Wipes[[#This Row],[Цена за 1 бр. в BGN]]*Wet_Wipes[[#This Row],[Поръчано Количество]]</f>
        <v>58.869579999999999</v>
      </c>
      <c r="P171" s="2"/>
      <c r="Q171" s="2"/>
      <c r="R171" s="2" t="str" cm="1">
        <f t="array" ref="R171">_xlfn.SWITCH(S171,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2" spans="1:18">
      <c r="A172" s="4" t="s">
        <v>1391</v>
      </c>
      <c r="B172" s="2">
        <v>3</v>
      </c>
      <c r="C172" s="2">
        <f>Wet_Wipes[[#This Row],[Желано количество]]</f>
        <v>3</v>
      </c>
      <c r="D172" s="31">
        <v>45838</v>
      </c>
      <c r="E172" s="2" t="s">
        <v>1182</v>
      </c>
      <c r="F172" s="32">
        <v>45726.308576388888</v>
      </c>
      <c r="G172" s="20" t="s">
        <v>1392</v>
      </c>
      <c r="H172" s="2" t="s">
        <v>22</v>
      </c>
      <c r="I172" s="2" t="s">
        <v>1325</v>
      </c>
      <c r="J172" s="31"/>
      <c r="K172" s="2"/>
      <c r="L172" s="57">
        <v>45843</v>
      </c>
      <c r="M172" s="54"/>
      <c r="N172" s="54">
        <v>81.889346000000003</v>
      </c>
      <c r="O172" s="2">
        <f>Wet_Wipes[[#This Row],[Цена за 1 бр. в BGN]]*Wet_Wipes[[#This Row],[Поръчано Количество]]</f>
        <v>245.66803800000002</v>
      </c>
      <c r="P172" s="2"/>
      <c r="Q172" s="2"/>
      <c r="R172" s="2" t="str" cm="1">
        <f t="array" ref="R172">_xlfn.SWITCH(S172,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3" spans="1:18">
      <c r="A173" s="2" t="s">
        <v>1393</v>
      </c>
      <c r="B173" s="2">
        <v>30</v>
      </c>
      <c r="C173" s="2">
        <f>Wet_Wipes[[#This Row],[Желано количество]]</f>
        <v>30</v>
      </c>
      <c r="D173" s="31">
        <v>45777</v>
      </c>
      <c r="E173" s="2" t="s">
        <v>1208</v>
      </c>
      <c r="F173" s="32">
        <v>45729.283622685187</v>
      </c>
      <c r="G173" s="20" t="s">
        <v>1394</v>
      </c>
      <c r="H173" s="2" t="s">
        <v>22</v>
      </c>
      <c r="I173" s="2" t="s">
        <v>104</v>
      </c>
      <c r="J173" s="31"/>
      <c r="K173" s="2"/>
      <c r="L173" s="55">
        <v>45843</v>
      </c>
      <c r="M173" s="58">
        <v>30</v>
      </c>
      <c r="N173" s="58">
        <v>3.8</v>
      </c>
      <c r="O173" s="2">
        <f>Wet_Wipes[[#This Row],[Цена за 1 бр. в BGN]]*Wet_Wipes[[#This Row],[Поръчано Количество]]</f>
        <v>114</v>
      </c>
      <c r="P173" s="2"/>
      <c r="Q173" s="2"/>
      <c r="R173" s="2" t="str" cm="1">
        <f t="array" ref="R173">_xlfn.SWITCH(S173,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4" spans="1:18">
      <c r="A174" s="4" t="s">
        <v>1395</v>
      </c>
      <c r="B174" s="2">
        <v>18</v>
      </c>
      <c r="C174" s="2">
        <f>Wet_Wipes[[#This Row],[Желано количество]]</f>
        <v>18</v>
      </c>
      <c r="D174" s="31">
        <v>45736</v>
      </c>
      <c r="E174" s="2" t="s">
        <v>1212</v>
      </c>
      <c r="F174" s="32">
        <v>45730.482361111113</v>
      </c>
      <c r="G174" s="20"/>
      <c r="H174" s="2" t="s">
        <v>731</v>
      </c>
      <c r="I174" s="2"/>
      <c r="J174" s="31"/>
      <c r="K174" s="2"/>
      <c r="L174" s="31">
        <v>45692</v>
      </c>
      <c r="M174" s="2"/>
      <c r="N174" s="2"/>
      <c r="O174" s="2">
        <f>Wet_Wipes[[#This Row],[Цена за 1 бр. в BGN]]*Wet_Wipes[[#This Row],[Поръчано Количество]]</f>
        <v>0</v>
      </c>
      <c r="P174" s="2"/>
      <c r="Q174" s="2"/>
      <c r="R174" s="2" t="str" cm="1">
        <f t="array" ref="R174">_xlfn.SWITCH(S174,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5" spans="1:18">
      <c r="A175" s="47" t="s">
        <v>1396</v>
      </c>
      <c r="B175" s="2">
        <v>10</v>
      </c>
      <c r="C175" s="2">
        <f>Wet_Wipes[[#This Row],[Желано количество]]</f>
        <v>10</v>
      </c>
      <c r="D175" s="31">
        <v>45747</v>
      </c>
      <c r="E175" s="2" t="s">
        <v>1192</v>
      </c>
      <c r="F175" s="32">
        <v>45730.517939814818</v>
      </c>
      <c r="G175" s="20"/>
      <c r="H175" s="2" t="s">
        <v>30</v>
      </c>
      <c r="I175" s="2"/>
      <c r="J175" s="31"/>
      <c r="K175" s="2"/>
      <c r="L175" s="31">
        <v>45692</v>
      </c>
      <c r="M175" s="2"/>
      <c r="N175" s="2"/>
      <c r="O175" s="2">
        <f>Wet_Wipes[[#This Row],[Цена за 1 бр. в BGN]]*Wet_Wipes[[#This Row],[Поръчано Количество]]</f>
        <v>0</v>
      </c>
      <c r="P175" s="2"/>
      <c r="Q175" s="2"/>
      <c r="R175" s="2" t="str" cm="1">
        <f t="array" ref="R175">_xlfn.SWITCH(S175,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6" spans="1:18">
      <c r="A176" s="47" t="s">
        <v>1397</v>
      </c>
      <c r="B176" s="2">
        <v>10</v>
      </c>
      <c r="C176" s="2">
        <f>Wet_Wipes[[#This Row],[Желано количество]]</f>
        <v>10</v>
      </c>
      <c r="D176" s="31">
        <v>45747</v>
      </c>
      <c r="E176" s="2" t="s">
        <v>1192</v>
      </c>
      <c r="F176" s="32">
        <v>45730.519409722219</v>
      </c>
      <c r="G176" s="20"/>
      <c r="H176" s="2" t="s">
        <v>30</v>
      </c>
      <c r="I176" s="2"/>
      <c r="J176" s="31"/>
      <c r="K176" s="2"/>
      <c r="L176" s="31">
        <v>45692</v>
      </c>
      <c r="M176" s="2"/>
      <c r="N176" s="2"/>
      <c r="O176" s="2">
        <f>Wet_Wipes[[#This Row],[Цена за 1 бр. в BGN]]*Wet_Wipes[[#This Row],[Поръчано Количество]]</f>
        <v>0</v>
      </c>
      <c r="P176" s="2"/>
      <c r="Q176" s="2"/>
      <c r="R176" s="2" t="str" cm="1">
        <f t="array" ref="R176">_xlfn.SWITCH(S176,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7" spans="1:18">
      <c r="A177" s="2" t="s">
        <v>1398</v>
      </c>
      <c r="B177" s="2">
        <v>2</v>
      </c>
      <c r="C177" s="2">
        <f>Wet_Wipes[[#This Row],[Желано количество]]</f>
        <v>2</v>
      </c>
      <c r="D177" s="31">
        <v>45777</v>
      </c>
      <c r="E177" s="2" t="s">
        <v>1212</v>
      </c>
      <c r="F177" s="32">
        <v>45736.275023148148</v>
      </c>
      <c r="G177" s="20"/>
      <c r="H177" s="2" t="s">
        <v>827</v>
      </c>
      <c r="I177" s="2" t="s">
        <v>1399</v>
      </c>
      <c r="J177" s="31"/>
      <c r="K177" s="2"/>
      <c r="L177" s="31">
        <v>45692</v>
      </c>
      <c r="M177" s="2"/>
      <c r="N177" s="2"/>
      <c r="O177" s="2">
        <f>Wet_Wipes[[#This Row],[Цена за 1 бр. в BGN]]*Wet_Wipes[[#This Row],[Поръчано Количество]]</f>
        <v>0</v>
      </c>
      <c r="P177" s="2"/>
      <c r="Q177" s="2"/>
      <c r="R177" s="2" t="str" cm="1">
        <f t="array" ref="R177">_xlfn.SWITCH(S177,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8" spans="1:18">
      <c r="A178" s="2" t="s">
        <v>1400</v>
      </c>
      <c r="B178" s="2">
        <v>1</v>
      </c>
      <c r="C178" s="2">
        <f>Wet_Wipes[[#This Row],[Желано количество]]</f>
        <v>1</v>
      </c>
      <c r="D178" s="31">
        <v>45777</v>
      </c>
      <c r="E178" s="2" t="s">
        <v>1212</v>
      </c>
      <c r="F178" s="32">
        <v>45736.275567129633</v>
      </c>
      <c r="G178" s="20"/>
      <c r="H178" s="2" t="s">
        <v>827</v>
      </c>
      <c r="I178" s="2" t="s">
        <v>1399</v>
      </c>
      <c r="J178" s="31"/>
      <c r="K178" s="2"/>
      <c r="L178" s="31">
        <v>45692</v>
      </c>
      <c r="M178" s="2"/>
      <c r="N178" s="2"/>
      <c r="O178" s="2">
        <f>Wet_Wipes[[#This Row],[Цена за 1 бр. в BGN]]*Wet_Wipes[[#This Row],[Поръчано Количество]]</f>
        <v>0</v>
      </c>
      <c r="P178" s="2"/>
      <c r="Q178" s="2"/>
      <c r="R178" s="2" t="str" cm="1">
        <f t="array" ref="R178">_xlfn.SWITCH(S178,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79" spans="1:18">
      <c r="A179" s="2" t="s">
        <v>1401</v>
      </c>
      <c r="B179" s="2">
        <v>1</v>
      </c>
      <c r="C179" s="2">
        <f>Wet_Wipes[[#This Row],[Желано количество]]</f>
        <v>1</v>
      </c>
      <c r="D179" s="31">
        <v>45777</v>
      </c>
      <c r="E179" s="2" t="s">
        <v>1212</v>
      </c>
      <c r="F179" s="32">
        <v>45736.276041666664</v>
      </c>
      <c r="G179" s="20"/>
      <c r="H179" s="2" t="s">
        <v>827</v>
      </c>
      <c r="I179" s="2" t="s">
        <v>1399</v>
      </c>
      <c r="J179" s="31"/>
      <c r="K179" s="2"/>
      <c r="L179" s="31">
        <v>45692</v>
      </c>
      <c r="M179" s="2"/>
      <c r="N179" s="2"/>
      <c r="O179" s="2">
        <f>Wet_Wipes[[#This Row],[Цена за 1 бр. в BGN]]*Wet_Wipes[[#This Row],[Поръчано Количество]]</f>
        <v>0</v>
      </c>
      <c r="P179" s="2"/>
      <c r="Q179" s="2"/>
      <c r="R179" s="2" t="str" cm="1">
        <f t="array" ref="R179">_xlfn.SWITCH(S179,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0" spans="1:18">
      <c r="A180" s="2" t="s">
        <v>1402</v>
      </c>
      <c r="B180" s="2">
        <v>4</v>
      </c>
      <c r="C180" s="2">
        <f>Wet_Wipes[[#This Row],[Желано количество]]</f>
        <v>4</v>
      </c>
      <c r="D180" s="31">
        <v>45744</v>
      </c>
      <c r="E180" s="2" t="s">
        <v>1208</v>
      </c>
      <c r="F180" s="32">
        <v>45740.480092592596</v>
      </c>
      <c r="G180" s="20" t="s">
        <v>1403</v>
      </c>
      <c r="H180" s="2" t="s">
        <v>22</v>
      </c>
      <c r="I180" s="2" t="s">
        <v>1404</v>
      </c>
      <c r="J180" s="31"/>
      <c r="K180" s="2"/>
      <c r="L180" s="31"/>
      <c r="M180" s="2"/>
      <c r="N180" s="2"/>
      <c r="O180" s="2">
        <f>Wet_Wipes[[#This Row],[Цена за 1 бр. в BGN]]*Wet_Wipes[[#This Row],[Поръчано Количество]]</f>
        <v>0</v>
      </c>
      <c r="P180" s="2"/>
      <c r="Q180" s="2"/>
      <c r="R180" s="2" t="str" cm="1">
        <f t="array" ref="R180">_xlfn.SWITCH(S180,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1" spans="1:18">
      <c r="A181" s="2" t="s">
        <v>1405</v>
      </c>
      <c r="B181" s="2">
        <v>50</v>
      </c>
      <c r="C181" s="2">
        <f>Wet_Wipes[[#This Row],[Желано количество]]</f>
        <v>50</v>
      </c>
      <c r="D181" s="31">
        <v>45760</v>
      </c>
      <c r="E181" s="2" t="s">
        <v>1188</v>
      </c>
      <c r="F181" s="32">
        <v>45741.470312500001</v>
      </c>
      <c r="G181" s="20" t="s">
        <v>308</v>
      </c>
      <c r="H181" s="2" t="s">
        <v>22</v>
      </c>
      <c r="I181" s="2" t="s">
        <v>1406</v>
      </c>
      <c r="J181" s="31"/>
      <c r="K181" s="2"/>
      <c r="L181" s="31"/>
      <c r="M181" s="2"/>
      <c r="N181" s="2">
        <v>5</v>
      </c>
      <c r="O181" s="2">
        <f>Wet_Wipes[[#This Row],[Цена за 1 бр. в BGN]]*Wet_Wipes[[#This Row],[Поръчано Количество]]</f>
        <v>250</v>
      </c>
      <c r="P181" s="2"/>
      <c r="Q181" s="2"/>
      <c r="R181" s="2" t="str" cm="1">
        <f t="array" ref="R181">_xlfn.SWITCH(S181,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2" spans="1:18">
      <c r="A182" s="2" t="s">
        <v>1407</v>
      </c>
      <c r="B182" s="2">
        <v>10</v>
      </c>
      <c r="C182" s="2">
        <f>Wet_Wipes[[#This Row],[Желано количество]]</f>
        <v>10</v>
      </c>
      <c r="D182" s="31">
        <v>45777</v>
      </c>
      <c r="E182" s="2" t="s">
        <v>1186</v>
      </c>
      <c r="F182" s="32">
        <v>45743.370636574073</v>
      </c>
      <c r="G182" s="20"/>
      <c r="H182" s="2"/>
      <c r="I182" s="2" t="s">
        <v>1325</v>
      </c>
      <c r="J182" s="31"/>
      <c r="K182" s="2"/>
      <c r="L182" s="31">
        <v>45692</v>
      </c>
      <c r="M182" s="2"/>
      <c r="N182" s="2"/>
      <c r="O182" s="2">
        <f>Wet_Wipes[[#This Row],[Цена за 1 бр. в BGN]]*Wet_Wipes[[#This Row],[Поръчано Количество]]</f>
        <v>0</v>
      </c>
      <c r="P182" s="2"/>
      <c r="Q182" s="2"/>
      <c r="R182" s="2" t="str" cm="1">
        <f t="array" ref="R182">_xlfn.SWITCH(S182,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3" spans="1:18">
      <c r="A183" s="2" t="s">
        <v>1408</v>
      </c>
      <c r="B183" s="2">
        <v>10</v>
      </c>
      <c r="C183" s="2">
        <f>Wet_Wipes[[#This Row],[Желано количество]]</f>
        <v>10</v>
      </c>
      <c r="D183" s="31">
        <v>45777</v>
      </c>
      <c r="E183" s="2" t="s">
        <v>1208</v>
      </c>
      <c r="F183" s="32">
        <v>45743.372349537036</v>
      </c>
      <c r="G183" s="20"/>
      <c r="H183" s="2"/>
      <c r="I183" s="2" t="s">
        <v>1325</v>
      </c>
      <c r="J183" s="31"/>
      <c r="K183" s="2"/>
      <c r="L183" s="31">
        <v>45692</v>
      </c>
      <c r="M183" s="2"/>
      <c r="N183" s="2"/>
      <c r="O183" s="2">
        <f>Wet_Wipes[[#This Row],[Цена за 1 бр. в BGN]]*Wet_Wipes[[#This Row],[Поръчано Количество]]</f>
        <v>0</v>
      </c>
      <c r="P183" s="2"/>
      <c r="Q183" s="2"/>
      <c r="R183" s="2" t="str" cm="1">
        <f t="array" ref="R183">_xlfn.SWITCH(S183,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4" spans="1:18">
      <c r="A184" s="47" t="s">
        <v>1409</v>
      </c>
      <c r="B184" s="2">
        <v>10</v>
      </c>
      <c r="C184" s="2">
        <f>Wet_Wipes[[#This Row],[Желано количество]]</f>
        <v>10</v>
      </c>
      <c r="D184" s="31">
        <v>45751</v>
      </c>
      <c r="E184" s="2" t="s">
        <v>1192</v>
      </c>
      <c r="F184" s="32">
        <v>45744.354629629626</v>
      </c>
      <c r="G184" s="20"/>
      <c r="H184" s="2" t="s">
        <v>22</v>
      </c>
      <c r="I184" s="2"/>
      <c r="J184" s="31"/>
      <c r="K184" s="2"/>
      <c r="L184" s="31"/>
      <c r="M184" s="2"/>
      <c r="N184" s="2"/>
      <c r="O184" s="2">
        <f>Wet_Wipes[[#This Row],[Цена за 1 бр. в BGN]]*Wet_Wipes[[#This Row],[Поръчано Количество]]</f>
        <v>0</v>
      </c>
      <c r="P184" s="2"/>
      <c r="Q184" s="2"/>
      <c r="R184" s="2" t="str" cm="1">
        <f t="array" ref="R184">_xlfn.SWITCH(S184,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5" spans="1:18">
      <c r="A185" s="47" t="s">
        <v>1410</v>
      </c>
      <c r="B185" s="2">
        <v>6</v>
      </c>
      <c r="C185" s="2">
        <v>1</v>
      </c>
      <c r="D185" s="31">
        <v>45777</v>
      </c>
      <c r="E185" s="2" t="s">
        <v>1285</v>
      </c>
      <c r="F185" s="32">
        <v>45749.221273148149</v>
      </c>
      <c r="G185" s="20"/>
      <c r="H185" s="2" t="s">
        <v>22</v>
      </c>
      <c r="I185" s="2"/>
      <c r="J185" s="31"/>
      <c r="K185" s="2"/>
      <c r="L185" s="31"/>
      <c r="M185" s="2"/>
      <c r="N185" s="2"/>
      <c r="O185" s="2">
        <f>Wet_Wipes[[#This Row],[Цена за 1 бр. в BGN]]*Wet_Wipes[[#This Row],[Поръчано Количество]]</f>
        <v>0</v>
      </c>
      <c r="P185" s="2"/>
      <c r="Q185" s="2"/>
      <c r="R185" s="2" t="str" cm="1">
        <f t="array" ref="R185">_xlfn.SWITCH(S185,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6" spans="1:18">
      <c r="A186" s="47" t="s">
        <v>1411</v>
      </c>
      <c r="B186" s="2">
        <v>5</v>
      </c>
      <c r="C186" s="2">
        <f>Wet_Wipes[[#This Row],[Желано количество]]</f>
        <v>5</v>
      </c>
      <c r="D186" s="31">
        <v>45777</v>
      </c>
      <c r="E186" s="2" t="s">
        <v>1285</v>
      </c>
      <c r="F186" s="32">
        <v>45749.325798611113</v>
      </c>
      <c r="G186" s="60" t="s">
        <v>1412</v>
      </c>
      <c r="H186" s="2"/>
      <c r="I186" s="2"/>
      <c r="J186" s="31"/>
      <c r="K186" s="2"/>
      <c r="L186" s="31"/>
      <c r="M186" s="2"/>
      <c r="N186" s="2"/>
      <c r="O186" s="2">
        <f>Wet_Wipes[[#This Row],[Цена за 1 бр. в BGN]]*Wet_Wipes[[#This Row],[Поръчано Количество]]</f>
        <v>0</v>
      </c>
      <c r="P186" s="2"/>
      <c r="Q186" s="2"/>
      <c r="R186" s="2" t="str" cm="1">
        <f t="array" ref="R186">_xlfn.SWITCH(S186,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7" spans="1:18">
      <c r="A187" s="2" t="s">
        <v>1413</v>
      </c>
      <c r="B187" s="2">
        <v>30</v>
      </c>
      <c r="C187" s="2">
        <f>Wet_Wipes[[#This Row],[Желано количество]]</f>
        <v>30</v>
      </c>
      <c r="D187" s="31">
        <v>45777</v>
      </c>
      <c r="E187" s="2" t="s">
        <v>1188</v>
      </c>
      <c r="F187" s="32">
        <v>45756.409675925926</v>
      </c>
      <c r="G187" s="2">
        <v>177751</v>
      </c>
      <c r="H187" s="2" t="s">
        <v>22</v>
      </c>
      <c r="I187" s="2" t="s">
        <v>58</v>
      </c>
      <c r="J187" s="31" t="s">
        <v>1205</v>
      </c>
      <c r="K187" s="2"/>
      <c r="L187" s="31">
        <v>45835</v>
      </c>
      <c r="M187" s="2">
        <v>30</v>
      </c>
      <c r="N187" s="2">
        <f>194.9/100</f>
        <v>1.9490000000000001</v>
      </c>
      <c r="O187" s="2">
        <f>Wet_Wipes[[#This Row],[Цена за 1 бр. в BGN]]*Wet_Wipes[[#This Row],[Поръчано Количество]]</f>
        <v>58.47</v>
      </c>
      <c r="P187" s="2"/>
      <c r="Q187" s="2"/>
      <c r="R187" s="2" t="str" cm="1">
        <f t="array" ref="R187">_xlfn.SWITCH(S187,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8" spans="1:18">
      <c r="A188" s="2" t="s">
        <v>1414</v>
      </c>
      <c r="B188" s="2">
        <v>10</v>
      </c>
      <c r="C188" s="2">
        <f>Wet_Wipes[[#This Row],[Желано количество]]</f>
        <v>10</v>
      </c>
      <c r="D188" s="31">
        <v>45777</v>
      </c>
      <c r="E188" s="2" t="s">
        <v>1188</v>
      </c>
      <c r="F188" s="32">
        <v>45756.41165509259</v>
      </c>
      <c r="G188" s="20" t="s">
        <v>1258</v>
      </c>
      <c r="H188" s="2" t="s">
        <v>22</v>
      </c>
      <c r="I188" s="2" t="s">
        <v>1200</v>
      </c>
      <c r="J188" s="31"/>
      <c r="K188" s="2"/>
      <c r="L188" s="31"/>
      <c r="M188" s="2"/>
      <c r="N188" s="2"/>
      <c r="O188" s="2">
        <f>Wet_Wipes[[#This Row],[Цена за 1 бр. в BGN]]*Wet_Wipes[[#This Row],[Поръчано Количество]]</f>
        <v>0</v>
      </c>
      <c r="P188" s="2"/>
      <c r="Q188" s="2"/>
      <c r="R188" s="2" t="str" cm="1">
        <f t="array" ref="R188">_xlfn.SWITCH(S188,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89" spans="1:18">
      <c r="A189" s="2" t="s">
        <v>1415</v>
      </c>
      <c r="B189" s="2">
        <v>10</v>
      </c>
      <c r="C189" s="2">
        <f>Wet_Wipes[[#This Row],[Желано количество]]</f>
        <v>10</v>
      </c>
      <c r="D189" s="31">
        <v>45777</v>
      </c>
      <c r="E189" s="2" t="s">
        <v>1188</v>
      </c>
      <c r="F189" s="32">
        <v>45756.41269675926</v>
      </c>
      <c r="G189" s="20" t="s">
        <v>1258</v>
      </c>
      <c r="H189" s="2" t="s">
        <v>22</v>
      </c>
      <c r="I189" s="2" t="s">
        <v>1200</v>
      </c>
      <c r="J189" s="31"/>
      <c r="K189" s="2"/>
      <c r="L189" s="31"/>
      <c r="M189" s="2"/>
      <c r="N189" s="2"/>
      <c r="O189" s="2">
        <f>Wet_Wipes[[#This Row],[Цена за 1 бр. в BGN]]*Wet_Wipes[[#This Row],[Поръчано Количество]]</f>
        <v>0</v>
      </c>
      <c r="P189" s="2"/>
      <c r="Q189" s="2"/>
      <c r="R189" s="2" t="str" cm="1">
        <f t="array" ref="R189">_xlfn.SWITCH(S189,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0" spans="1:18">
      <c r="A190" s="2" t="s">
        <v>1416</v>
      </c>
      <c r="B190" s="2">
        <v>5</v>
      </c>
      <c r="C190" s="2">
        <f>Wet_Wipes[[#This Row],[Желано количество]]</f>
        <v>5</v>
      </c>
      <c r="D190" s="31">
        <v>45777</v>
      </c>
      <c r="E190" s="2" t="s">
        <v>1188</v>
      </c>
      <c r="F190" s="32">
        <v>45756.413495370369</v>
      </c>
      <c r="G190" s="20" t="s">
        <v>1258</v>
      </c>
      <c r="H190" s="2" t="s">
        <v>22</v>
      </c>
      <c r="I190" s="2" t="s">
        <v>1200</v>
      </c>
      <c r="J190" s="31"/>
      <c r="K190" s="2"/>
      <c r="L190" s="31"/>
      <c r="M190" s="2"/>
      <c r="N190" s="2"/>
      <c r="O190" s="2">
        <f>Wet_Wipes[[#This Row],[Цена за 1 бр. в BGN]]*Wet_Wipes[[#This Row],[Поръчано Количество]]</f>
        <v>0</v>
      </c>
      <c r="P190" s="2"/>
      <c r="Q190" s="2"/>
      <c r="R190" s="2" t="str" cm="1">
        <f t="array" ref="R190">_xlfn.SWITCH(S190,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1" spans="1:18">
      <c r="A191" s="2" t="s">
        <v>1417</v>
      </c>
      <c r="B191" s="2">
        <v>10</v>
      </c>
      <c r="C191" s="2">
        <f>Wet_Wipes[[#This Row],[Желано количество]]</f>
        <v>10</v>
      </c>
      <c r="D191" s="31">
        <v>45777</v>
      </c>
      <c r="E191" s="2" t="s">
        <v>1188</v>
      </c>
      <c r="F191" s="32">
        <v>45756.414722222224</v>
      </c>
      <c r="G191" s="20" t="s">
        <v>1258</v>
      </c>
      <c r="H191" s="2" t="s">
        <v>22</v>
      </c>
      <c r="I191" s="2" t="s">
        <v>1200</v>
      </c>
      <c r="J191" s="31"/>
      <c r="K191" s="2"/>
      <c r="L191" s="31"/>
      <c r="M191" s="2"/>
      <c r="N191" s="2"/>
      <c r="O191" s="2">
        <f>Wet_Wipes[[#This Row],[Цена за 1 бр. в BGN]]*Wet_Wipes[[#This Row],[Поръчано Количество]]</f>
        <v>0</v>
      </c>
      <c r="P191" s="2"/>
      <c r="Q191" s="2"/>
      <c r="R191" s="2" t="str" cm="1">
        <f t="array" ref="R191">_xlfn.SWITCH(S191,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2" spans="1:18">
      <c r="A192" t="s">
        <v>1418</v>
      </c>
      <c r="B192">
        <v>15</v>
      </c>
      <c r="C192" s="2"/>
      <c r="D192" s="28">
        <v>45808</v>
      </c>
      <c r="E192" t="s">
        <v>1188</v>
      </c>
      <c r="F192" s="30">
        <v>45771.365659722222</v>
      </c>
      <c r="G192" s="20"/>
      <c r="H192" t="s">
        <v>22</v>
      </c>
      <c r="I192" t="s">
        <v>1281</v>
      </c>
      <c r="J192" s="28"/>
      <c r="L192" s="28"/>
      <c r="M192">
        <v>4</v>
      </c>
      <c r="O192" s="2">
        <f>Wet_Wipes[[#This Row],[Цена за 1 бр. в BGN]]*Wet_Wipes[[#This Row],[Поръчано Количество]]</f>
        <v>0</v>
      </c>
      <c r="R192" t="str" cm="1">
        <f t="array" ref="R192">_xlfn.SWITCH(S192,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3" spans="1:18">
      <c r="A193" s="2" t="s">
        <v>1419</v>
      </c>
      <c r="B193" s="2">
        <v>20</v>
      </c>
      <c r="C193" s="2">
        <f>Wet_Wipes[[#This Row],[Желано количество]]</f>
        <v>20</v>
      </c>
      <c r="D193" s="31">
        <v>45777</v>
      </c>
      <c r="E193" s="2" t="s">
        <v>1188</v>
      </c>
      <c r="F193" s="32">
        <v>45756.416539351849</v>
      </c>
      <c r="G193" s="20" t="s">
        <v>1258</v>
      </c>
      <c r="H193" s="2" t="s">
        <v>22</v>
      </c>
      <c r="I193" s="2" t="s">
        <v>1200</v>
      </c>
      <c r="J193" s="31"/>
      <c r="K193" s="2"/>
      <c r="L193" s="31"/>
      <c r="M193" s="2"/>
      <c r="N193" s="2"/>
      <c r="O193" s="2">
        <f>Wet_Wipes[[#This Row],[Цена за 1 бр. в BGN]]*Wet_Wipes[[#This Row],[Поръчано Количество]]</f>
        <v>0</v>
      </c>
      <c r="P193" s="2"/>
      <c r="Q193" s="2"/>
      <c r="R193" s="2" t="str" cm="1">
        <f t="array" ref="R193">_xlfn.SWITCH(S193,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4" spans="1:18">
      <c r="A194" s="2" t="s">
        <v>1420</v>
      </c>
      <c r="B194" s="2">
        <v>20</v>
      </c>
      <c r="C194" s="2">
        <f>Wet_Wipes[[#This Row],[Желано количество]]</f>
        <v>20</v>
      </c>
      <c r="D194" s="31">
        <v>45777</v>
      </c>
      <c r="E194" s="2" t="s">
        <v>1188</v>
      </c>
      <c r="F194" s="32">
        <v>45756.418402777781</v>
      </c>
      <c r="G194" s="20" t="s">
        <v>1258</v>
      </c>
      <c r="H194" s="2" t="s">
        <v>22</v>
      </c>
      <c r="I194" s="2" t="s">
        <v>1200</v>
      </c>
      <c r="J194" s="31"/>
      <c r="K194" s="2"/>
      <c r="L194" s="31"/>
      <c r="M194" s="2"/>
      <c r="N194" s="2"/>
      <c r="O194" s="2">
        <f>Wet_Wipes[[#This Row],[Цена за 1 бр. в BGN]]*Wet_Wipes[[#This Row],[Поръчано Количество]]</f>
        <v>0</v>
      </c>
      <c r="P194" s="2"/>
      <c r="Q194" s="2"/>
      <c r="R194" s="2" t="str" cm="1">
        <f t="array" ref="R194">_xlfn.SWITCH(S194,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5" spans="1:18">
      <c r="A195" s="2" t="s">
        <v>1421</v>
      </c>
      <c r="B195" s="2">
        <v>5</v>
      </c>
      <c r="C195" s="2">
        <f>Wet_Wipes[[#This Row],[Желано количество]]</f>
        <v>5</v>
      </c>
      <c r="D195" s="31">
        <v>45777</v>
      </c>
      <c r="E195" s="2" t="s">
        <v>1212</v>
      </c>
      <c r="F195" s="32">
        <v>45761.274722222224</v>
      </c>
      <c r="G195" s="20" t="s">
        <v>1394</v>
      </c>
      <c r="H195" s="2" t="s">
        <v>22</v>
      </c>
      <c r="I195" s="2" t="s">
        <v>104</v>
      </c>
      <c r="J195" s="31"/>
      <c r="K195" s="2"/>
      <c r="L195" s="31" t="s">
        <v>1422</v>
      </c>
      <c r="M195" s="2">
        <v>5</v>
      </c>
      <c r="N195" s="2">
        <v>8.02</v>
      </c>
      <c r="O195" s="2">
        <f>Wet_Wipes[[#This Row],[Цена за 1 бр. в BGN]]*Wet_Wipes[[#This Row],[Поръчано Количество]]</f>
        <v>40.099999999999994</v>
      </c>
      <c r="P195" s="2"/>
      <c r="Q195" s="2"/>
      <c r="R195" s="2" t="str" cm="1">
        <f t="array" ref="R195">_xlfn.SWITCH(S195,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6" spans="1:18">
      <c r="A196" s="2" t="s">
        <v>1423</v>
      </c>
      <c r="B196" s="2">
        <v>5</v>
      </c>
      <c r="C196" s="2">
        <v>10</v>
      </c>
      <c r="D196" s="31">
        <v>45777</v>
      </c>
      <c r="E196" s="2" t="s">
        <v>1212</v>
      </c>
      <c r="F196" s="32">
        <v>45761.275312500002</v>
      </c>
      <c r="G196" s="20" t="s">
        <v>1394</v>
      </c>
      <c r="H196" s="2" t="s">
        <v>22</v>
      </c>
      <c r="I196" s="2" t="s">
        <v>104</v>
      </c>
      <c r="J196" s="31"/>
      <c r="K196" s="2"/>
      <c r="L196" s="31">
        <v>45918</v>
      </c>
      <c r="M196" s="2">
        <v>10</v>
      </c>
      <c r="N196" s="2">
        <v>6.45</v>
      </c>
      <c r="O196" s="2">
        <f>Wet_Wipes[[#This Row],[Цена за 1 бр. в BGN]]*Wet_Wipes[[#This Row],[Поръчано Количество]]</f>
        <v>64.5</v>
      </c>
      <c r="P196" s="2"/>
      <c r="Q196" s="2"/>
      <c r="R196" s="2" t="str" cm="1">
        <f t="array" ref="R196">_xlfn.SWITCH(S196,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7" spans="1:18">
      <c r="A197" s="2" t="s">
        <v>1424</v>
      </c>
      <c r="B197" s="2">
        <v>5</v>
      </c>
      <c r="C197" s="2">
        <f>Wet_Wipes[[#This Row],[Желано количество]]</f>
        <v>5</v>
      </c>
      <c r="D197" s="31">
        <v>45777</v>
      </c>
      <c r="E197" s="2" t="s">
        <v>1212</v>
      </c>
      <c r="F197" s="32">
        <v>45761.276087962964</v>
      </c>
      <c r="G197" s="20" t="s">
        <v>1394</v>
      </c>
      <c r="H197" s="2" t="s">
        <v>22</v>
      </c>
      <c r="I197" s="2" t="s">
        <v>104</v>
      </c>
      <c r="J197" s="31"/>
      <c r="K197" s="2"/>
      <c r="L197" s="31">
        <v>45918</v>
      </c>
      <c r="M197" s="2">
        <v>5</v>
      </c>
      <c r="N197" s="2">
        <v>52.18</v>
      </c>
      <c r="O197" s="2">
        <f>Wet_Wipes[[#This Row],[Цена за 1 бр. в BGN]]*Wet_Wipes[[#This Row],[Поръчано Количество]]</f>
        <v>260.89999999999998</v>
      </c>
      <c r="P197" s="2"/>
      <c r="Q197" s="2"/>
      <c r="R197" s="2" t="str" cm="1">
        <f t="array" ref="R197">_xlfn.SWITCH(S197,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8" spans="1:18">
      <c r="A198" s="2" t="s">
        <v>1425</v>
      </c>
      <c r="B198" s="2">
        <v>5</v>
      </c>
      <c r="C198" s="2">
        <f>Wet_Wipes[[#This Row],[Желано количество]]</f>
        <v>5</v>
      </c>
      <c r="D198" s="31">
        <v>45777</v>
      </c>
      <c r="E198" s="2" t="s">
        <v>1212</v>
      </c>
      <c r="F198" s="32">
        <v>45761.27652777778</v>
      </c>
      <c r="G198" s="20" t="s">
        <v>1394</v>
      </c>
      <c r="H198" s="2" t="s">
        <v>22</v>
      </c>
      <c r="I198" s="2" t="s">
        <v>104</v>
      </c>
      <c r="J198" s="31"/>
      <c r="K198" s="2"/>
      <c r="L198" s="31">
        <v>45918</v>
      </c>
      <c r="M198" s="2">
        <v>5</v>
      </c>
      <c r="N198" s="2">
        <v>41.99</v>
      </c>
      <c r="O198" s="2">
        <f>Wet_Wipes[[#This Row],[Цена за 1 бр. в BGN]]*Wet_Wipes[[#This Row],[Поръчано Количество]]</f>
        <v>209.95000000000002</v>
      </c>
      <c r="P198" s="2"/>
      <c r="Q198" s="2"/>
      <c r="R198" s="2" t="str" cm="1">
        <f t="array" ref="R198">_xlfn.SWITCH(S198,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199" spans="1:18">
      <c r="A199" s="2" t="s">
        <v>1426</v>
      </c>
      <c r="B199" s="2">
        <v>5</v>
      </c>
      <c r="C199" s="2">
        <f>Wet_Wipes[[#This Row],[Желано количество]]</f>
        <v>5</v>
      </c>
      <c r="D199" s="31">
        <v>45777</v>
      </c>
      <c r="E199" s="2" t="s">
        <v>1212</v>
      </c>
      <c r="F199" s="32">
        <v>45761.276956018519</v>
      </c>
      <c r="G199" s="20" t="s">
        <v>1394</v>
      </c>
      <c r="H199" s="2" t="s">
        <v>22</v>
      </c>
      <c r="I199" s="2" t="s">
        <v>104</v>
      </c>
      <c r="J199" s="31"/>
      <c r="K199" s="2"/>
      <c r="L199" s="31">
        <v>45918</v>
      </c>
      <c r="M199" s="2">
        <v>5</v>
      </c>
      <c r="N199" s="2">
        <v>40.78</v>
      </c>
      <c r="O199" s="2">
        <f>Wet_Wipes[[#This Row],[Цена за 1 бр. в BGN]]*Wet_Wipes[[#This Row],[Поръчано Количество]]</f>
        <v>203.9</v>
      </c>
      <c r="P199" s="2"/>
      <c r="Q199" s="2"/>
      <c r="R199" s="2" t="str" cm="1">
        <f t="array" ref="R199">_xlfn.SWITCH(S199,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0" spans="1:18">
      <c r="A200" s="2" t="s">
        <v>1427</v>
      </c>
      <c r="B200" s="2">
        <v>5</v>
      </c>
      <c r="C200" s="2">
        <v>10</v>
      </c>
      <c r="D200" s="31">
        <v>45777</v>
      </c>
      <c r="E200" s="2" t="s">
        <v>1212</v>
      </c>
      <c r="F200" s="32">
        <v>45761.277557870373</v>
      </c>
      <c r="G200" s="20" t="s">
        <v>1394</v>
      </c>
      <c r="H200" s="2" t="s">
        <v>22</v>
      </c>
      <c r="I200" s="2" t="s">
        <v>104</v>
      </c>
      <c r="J200" s="31"/>
      <c r="K200" s="2"/>
      <c r="L200" s="31">
        <v>45918</v>
      </c>
      <c r="M200" s="2">
        <v>10</v>
      </c>
      <c r="N200" s="2">
        <v>7.58</v>
      </c>
      <c r="O200" s="2">
        <f>Wet_Wipes[[#This Row],[Цена за 1 бр. в BGN]]*Wet_Wipes[[#This Row],[Поръчано Количество]]</f>
        <v>75.8</v>
      </c>
      <c r="P200" s="2"/>
      <c r="Q200" s="2"/>
      <c r="R200" s="2" t="str" cm="1">
        <f t="array" ref="R200">_xlfn.SWITCH(S200,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1" spans="1:18">
      <c r="A201" t="s">
        <v>1428</v>
      </c>
      <c r="B201">
        <v>1</v>
      </c>
      <c r="C201" s="2">
        <f>Wet_Wipes[[#This Row],[Желано количество]]</f>
        <v>1</v>
      </c>
      <c r="D201" s="28">
        <v>45793</v>
      </c>
      <c r="E201" t="s">
        <v>1285</v>
      </c>
      <c r="F201" s="30">
        <v>45786.39371527778</v>
      </c>
      <c r="G201" s="20" t="s">
        <v>1429</v>
      </c>
      <c r="H201" t="s">
        <v>22</v>
      </c>
      <c r="I201" t="s">
        <v>48</v>
      </c>
      <c r="J201" s="28">
        <v>45791</v>
      </c>
      <c r="L201" s="28">
        <v>45791</v>
      </c>
      <c r="N201">
        <v>47.54</v>
      </c>
      <c r="O201" s="2">
        <f>Wet_Wipes[[#This Row],[Цена за 1 бр. в BGN]]*Wet_Wipes[[#This Row],[Поръчано Количество]]</f>
        <v>47.54</v>
      </c>
      <c r="R201" t="str" cm="1">
        <f t="array" ref="R201">_xlfn.SWITCH(S201,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2" spans="1:18">
      <c r="A202" t="s">
        <v>1430</v>
      </c>
      <c r="B202">
        <v>1</v>
      </c>
      <c r="C202" s="2">
        <f>Wet_Wipes[[#This Row],[Желано количество]]</f>
        <v>1</v>
      </c>
      <c r="D202" s="28">
        <v>45793</v>
      </c>
      <c r="E202" t="s">
        <v>1182</v>
      </c>
      <c r="F202" s="30">
        <v>45786.394247685188</v>
      </c>
      <c r="G202" s="20" t="s">
        <v>1429</v>
      </c>
      <c r="H202" t="s">
        <v>22</v>
      </c>
      <c r="I202" t="s">
        <v>48</v>
      </c>
      <c r="J202" s="28">
        <v>45791</v>
      </c>
      <c r="L202" s="28">
        <v>45791</v>
      </c>
      <c r="N202">
        <v>35.74</v>
      </c>
      <c r="O202" s="2">
        <f>Wet_Wipes[[#This Row],[Цена за 1 бр. в BGN]]*Wet_Wipes[[#This Row],[Поръчано Количество]]</f>
        <v>35.74</v>
      </c>
      <c r="R202" t="str" cm="1">
        <f t="array" ref="R202">_xlfn.SWITCH(S202,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3" spans="1:18">
      <c r="A203" t="s">
        <v>1431</v>
      </c>
      <c r="B203">
        <v>1</v>
      </c>
      <c r="C203" s="2">
        <f>Wet_Wipes[[#This Row],[Желано количество]]</f>
        <v>1</v>
      </c>
      <c r="D203" s="28">
        <v>45793</v>
      </c>
      <c r="E203" t="s">
        <v>1182</v>
      </c>
      <c r="F203" s="30">
        <v>45786.394849537035</v>
      </c>
      <c r="G203" s="20" t="s">
        <v>1429</v>
      </c>
      <c r="H203" t="s">
        <v>22</v>
      </c>
      <c r="I203" t="s">
        <v>48</v>
      </c>
      <c r="J203" s="28">
        <v>45791</v>
      </c>
      <c r="L203" s="28">
        <v>45791</v>
      </c>
      <c r="N203">
        <v>23.98</v>
      </c>
      <c r="O203" s="2">
        <f>Wet_Wipes[[#This Row],[Цена за 1 бр. в BGN]]*Wet_Wipes[[#This Row],[Поръчано Количество]]</f>
        <v>23.98</v>
      </c>
      <c r="R203" t="str" cm="1">
        <f t="array" ref="R203">_xlfn.SWITCH(S203,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4" spans="1:18">
      <c r="A204" s="2" t="s">
        <v>1432</v>
      </c>
      <c r="B204" s="2">
        <v>5</v>
      </c>
      <c r="C204" s="2">
        <v>10</v>
      </c>
      <c r="D204" s="31">
        <v>45777</v>
      </c>
      <c r="E204" s="2" t="s">
        <v>1212</v>
      </c>
      <c r="F204" s="32">
        <v>45761.277905092589</v>
      </c>
      <c r="G204" s="20" t="s">
        <v>1394</v>
      </c>
      <c r="H204" s="2" t="s">
        <v>22</v>
      </c>
      <c r="I204" s="2" t="s">
        <v>104</v>
      </c>
      <c r="J204" s="31"/>
      <c r="K204" s="2"/>
      <c r="L204" s="31">
        <v>45918</v>
      </c>
      <c r="M204" s="2">
        <v>10</v>
      </c>
      <c r="N204" s="2">
        <v>7.22</v>
      </c>
      <c r="O204" s="2">
        <f>Wet_Wipes[[#This Row],[Цена за 1 бр. в BGN]]*Wet_Wipes[[#This Row],[Поръчано Количество]]</f>
        <v>72.2</v>
      </c>
      <c r="P204" s="2"/>
      <c r="Q204" s="2"/>
      <c r="R204" s="2" t="str" cm="1">
        <f t="array" ref="R204">_xlfn.SWITCH(S204,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5" spans="1:18">
      <c r="A205" s="2" t="s">
        <v>1433</v>
      </c>
      <c r="B205" s="2">
        <v>5</v>
      </c>
      <c r="C205" s="2">
        <f>Wet_Wipes[[#This Row],[Желано количество]]</f>
        <v>5</v>
      </c>
      <c r="D205" s="31">
        <v>45777</v>
      </c>
      <c r="E205" s="2" t="s">
        <v>1212</v>
      </c>
      <c r="F205" s="32">
        <v>45761.278240740743</v>
      </c>
      <c r="G205" s="20"/>
      <c r="H205" s="2" t="s">
        <v>30</v>
      </c>
      <c r="I205" s="2" t="s">
        <v>73</v>
      </c>
      <c r="J205" s="31"/>
      <c r="K205" s="2"/>
      <c r="L205" s="31"/>
      <c r="M205" s="2"/>
      <c r="N205" s="2"/>
      <c r="O205" s="2">
        <f>Wet_Wipes[[#This Row],[Цена за 1 бр. в BGN]]*Wet_Wipes[[#This Row],[Поръчано Количество]]</f>
        <v>0</v>
      </c>
      <c r="P205" s="2"/>
      <c r="Q205" s="2"/>
      <c r="R205" s="2" t="str" cm="1">
        <f t="array" ref="R205">_xlfn.SWITCH(S205,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6" spans="1:18">
      <c r="A206" s="2" t="s">
        <v>1434</v>
      </c>
      <c r="B206" s="2">
        <v>5</v>
      </c>
      <c r="C206" s="2">
        <f>Wet_Wipes[[#This Row],[Желано количество]]</f>
        <v>5</v>
      </c>
      <c r="D206" s="31">
        <v>45777</v>
      </c>
      <c r="E206" s="2" t="s">
        <v>1212</v>
      </c>
      <c r="F206" s="32">
        <v>45761.27853009259</v>
      </c>
      <c r="G206" s="20"/>
      <c r="H206" s="2" t="s">
        <v>30</v>
      </c>
      <c r="I206" s="2" t="s">
        <v>73</v>
      </c>
      <c r="J206" s="31"/>
      <c r="K206" s="2"/>
      <c r="L206" s="31"/>
      <c r="M206" s="2"/>
      <c r="N206" s="2"/>
      <c r="O206" s="2">
        <f>Wet_Wipes[[#This Row],[Цена за 1 бр. в BGN]]*Wet_Wipes[[#This Row],[Поръчано Количество]]</f>
        <v>0</v>
      </c>
      <c r="P206" s="2"/>
      <c r="Q206" s="2"/>
      <c r="R206" s="2" t="str" cm="1">
        <f t="array" ref="R206">_xlfn.SWITCH(S206,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7" spans="1:18">
      <c r="A207" t="s">
        <v>1435</v>
      </c>
      <c r="B207">
        <v>4</v>
      </c>
      <c r="C207" s="2">
        <f>Wet_Wipes[[#This Row],[Желано количество]]</f>
        <v>4</v>
      </c>
      <c r="D207" s="28">
        <v>45791</v>
      </c>
      <c r="E207" t="s">
        <v>1188</v>
      </c>
      <c r="F207" s="30">
        <v>45791.172002314815</v>
      </c>
      <c r="G207" s="20"/>
      <c r="H207" t="s">
        <v>22</v>
      </c>
      <c r="I207" t="s">
        <v>101</v>
      </c>
      <c r="J207" s="28"/>
      <c r="L207" s="28">
        <v>45791</v>
      </c>
      <c r="M207">
        <v>4</v>
      </c>
      <c r="O207" s="2">
        <f>Wet_Wipes[[#This Row],[Цена за 1 бр. в BGN]]*Wet_Wipes[[#This Row],[Поръчано Количество]]</f>
        <v>0</v>
      </c>
      <c r="R207" t="str" cm="1">
        <f t="array" ref="R207">_xlfn.SWITCH(S207,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8" spans="1:18">
      <c r="A208" s="2" t="s">
        <v>1436</v>
      </c>
      <c r="B208" s="2">
        <v>200</v>
      </c>
      <c r="C208" s="2">
        <f>Wet_Wipes[[#This Row],[Желано количество]]</f>
        <v>200</v>
      </c>
      <c r="D208" s="31">
        <v>45795</v>
      </c>
      <c r="E208" s="2" t="s">
        <v>1188</v>
      </c>
      <c r="F208" s="32">
        <v>45769.236516203702</v>
      </c>
      <c r="G208" s="2" t="s">
        <v>1252</v>
      </c>
      <c r="H208" s="2" t="s">
        <v>22</v>
      </c>
      <c r="I208" s="2" t="s">
        <v>46</v>
      </c>
      <c r="J208" s="31">
        <v>45795</v>
      </c>
      <c r="K208" s="2"/>
      <c r="L208" s="28">
        <v>45870</v>
      </c>
      <c r="M208" s="2">
        <v>200</v>
      </c>
      <c r="N208" s="2">
        <v>0.21</v>
      </c>
      <c r="O208" s="2">
        <f>Wet_Wipes[[#This Row],[Цена за 1 бр. в BGN]]*Wet_Wipes[[#This Row],[Поръчано Количество]]</f>
        <v>42</v>
      </c>
      <c r="P208" t="s">
        <v>1253</v>
      </c>
      <c r="Q208" s="2"/>
      <c r="R208" s="2" t="str" cm="1">
        <f t="array" ref="R208">_xlfn.SWITCH(S208,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09" spans="1:18">
      <c r="A209" t="s">
        <v>1437</v>
      </c>
      <c r="B209">
        <v>2</v>
      </c>
      <c r="C209" s="2">
        <f>Wet_Wipes[[#This Row],[Желано количество]]</f>
        <v>2</v>
      </c>
      <c r="D209" s="28">
        <v>45802</v>
      </c>
      <c r="E209" t="s">
        <v>1208</v>
      </c>
      <c r="F209" s="30">
        <v>45791.581828703704</v>
      </c>
      <c r="G209" s="20" t="s">
        <v>1438</v>
      </c>
      <c r="H209" t="s">
        <v>22</v>
      </c>
      <c r="I209" t="s">
        <v>46</v>
      </c>
      <c r="J209" s="28">
        <v>45799</v>
      </c>
      <c r="L209" s="28">
        <v>45799</v>
      </c>
      <c r="M209">
        <v>2</v>
      </c>
      <c r="N209">
        <v>2</v>
      </c>
      <c r="O209" s="2">
        <f>Wet_Wipes[[#This Row],[Цена за 1 бр. в BGN]]*Wet_Wipes[[#This Row],[Поръчано Количество]]</f>
        <v>4</v>
      </c>
      <c r="R209" t="str" cm="1">
        <f t="array" ref="R209">_xlfn.SWITCH(S209,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0" spans="1:18">
      <c r="A210" t="s">
        <v>1439</v>
      </c>
      <c r="B210">
        <v>2</v>
      </c>
      <c r="C210" s="2">
        <f>Wet_Wipes[[#This Row],[Желано количество]]</f>
        <v>2</v>
      </c>
      <c r="D210" s="28">
        <v>45802</v>
      </c>
      <c r="E210" t="s">
        <v>1208</v>
      </c>
      <c r="F210" s="30">
        <v>45791.582407407404</v>
      </c>
      <c r="G210" s="20" t="s">
        <v>1438</v>
      </c>
      <c r="H210" t="s">
        <v>22</v>
      </c>
      <c r="I210" t="s">
        <v>46</v>
      </c>
      <c r="J210" s="28">
        <v>45799</v>
      </c>
      <c r="L210" s="28">
        <v>45799</v>
      </c>
      <c r="M210">
        <v>2</v>
      </c>
      <c r="N210">
        <v>2</v>
      </c>
      <c r="O210" s="2">
        <f>Wet_Wipes[[#This Row],[Цена за 1 бр. в BGN]]*Wet_Wipes[[#This Row],[Поръчано Количество]]</f>
        <v>4</v>
      </c>
      <c r="R210" t="str" cm="1">
        <f t="array" ref="R210">_xlfn.SWITCH(S210,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1" spans="1:18">
      <c r="A211" t="s">
        <v>1440</v>
      </c>
      <c r="B211">
        <v>30</v>
      </c>
      <c r="C211" s="2">
        <f>Wet_Wipes[[#This Row],[Желано количество]]</f>
        <v>30</v>
      </c>
      <c r="D211" s="28">
        <v>45838</v>
      </c>
      <c r="E211" t="s">
        <v>1182</v>
      </c>
      <c r="F211" s="30">
        <v>45794.376701388886</v>
      </c>
      <c r="G211" s="20" t="s">
        <v>1441</v>
      </c>
      <c r="H211" t="s">
        <v>22</v>
      </c>
      <c r="I211" t="s">
        <v>1442</v>
      </c>
      <c r="J211" s="28">
        <v>45805</v>
      </c>
      <c r="L211" s="28"/>
      <c r="N211">
        <v>5.78</v>
      </c>
      <c r="O211" s="2">
        <f>Wet_Wipes[[#This Row],[Цена за 1 бр. в BGN]]*Wet_Wipes[[#This Row],[Поръчано Количество]]</f>
        <v>173.4</v>
      </c>
      <c r="R211" t="str" cm="1">
        <f t="array" ref="R211">_xlfn.SWITCH(S211,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2" spans="1:18">
      <c r="A212" s="2" t="s">
        <v>1443</v>
      </c>
      <c r="B212" s="2">
        <v>1</v>
      </c>
      <c r="C212" s="2">
        <f>Wet_Wipes[[#This Row],[Желано количество]]</f>
        <v>1</v>
      </c>
      <c r="D212" s="31">
        <v>45772</v>
      </c>
      <c r="E212" s="2" t="s">
        <v>63</v>
      </c>
      <c r="F212" s="32">
        <v>45769.240833333337</v>
      </c>
      <c r="G212" s="20"/>
      <c r="H212" s="2" t="s">
        <v>30</v>
      </c>
      <c r="I212" s="2"/>
      <c r="J212" s="31"/>
      <c r="K212" s="2"/>
      <c r="L212" s="31"/>
      <c r="M212" s="2"/>
      <c r="N212" s="2"/>
      <c r="O212" s="2">
        <f>Wet_Wipes[[#This Row],[Цена за 1 бр. в BGN]]*Wet_Wipes[[#This Row],[Поръчано Количество]]</f>
        <v>0</v>
      </c>
      <c r="P212" s="2"/>
      <c r="Q212" s="2"/>
      <c r="R212" s="2" t="str" cm="1">
        <f t="array" ref="R212">_xlfn.SWITCH(S212,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3" spans="1:18">
      <c r="A213" s="2" t="s">
        <v>1444</v>
      </c>
      <c r="B213" s="2">
        <v>3</v>
      </c>
      <c r="C213" s="2">
        <f>Wet_Wipes[[#This Row],[Желано количество]]</f>
        <v>3</v>
      </c>
      <c r="D213" s="31">
        <v>45838</v>
      </c>
      <c r="E213" s="2" t="s">
        <v>1188</v>
      </c>
      <c r="F213" s="32">
        <v>45769.242824074077</v>
      </c>
      <c r="G213" s="20" t="s">
        <v>257</v>
      </c>
      <c r="H213" s="2" t="s">
        <v>22</v>
      </c>
      <c r="I213" s="2" t="s">
        <v>101</v>
      </c>
      <c r="J213" s="31"/>
      <c r="K213" s="2"/>
      <c r="L213" s="31">
        <v>45826</v>
      </c>
      <c r="M213" s="2"/>
      <c r="N213" s="2">
        <v>27.45</v>
      </c>
      <c r="O213" s="2">
        <f>Wet_Wipes[[#This Row],[Цена за 1 бр. в BGN]]*Wet_Wipes[[#This Row],[Поръчано Количество]]</f>
        <v>82.35</v>
      </c>
      <c r="P213" s="2"/>
      <c r="Q213" s="2"/>
      <c r="R213" s="2" t="str" cm="1">
        <f t="array" ref="R213">_xlfn.SWITCH(S213,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4" spans="1:18">
      <c r="A214" s="2" t="s">
        <v>1445</v>
      </c>
      <c r="B214" s="2">
        <v>10</v>
      </c>
      <c r="C214" s="2">
        <f>Wet_Wipes[[#This Row],[Желано количество]]</f>
        <v>10</v>
      </c>
      <c r="D214" s="31">
        <v>45838</v>
      </c>
      <c r="E214" s="2" t="s">
        <v>1212</v>
      </c>
      <c r="F214" s="32">
        <v>45769.243564814817</v>
      </c>
      <c r="G214" s="20"/>
      <c r="H214" s="2" t="s">
        <v>30</v>
      </c>
      <c r="I214" s="2"/>
      <c r="J214" s="31"/>
      <c r="K214" s="2"/>
      <c r="L214" s="31"/>
      <c r="M214" s="2"/>
      <c r="N214" s="2"/>
      <c r="O214" s="2">
        <f>Wet_Wipes[[#This Row],[Цена за 1 бр. в BGN]]*Wet_Wipes[[#This Row],[Поръчано Количество]]</f>
        <v>0</v>
      </c>
      <c r="P214" s="2"/>
      <c r="Q214" s="2"/>
      <c r="R214" s="2" t="str" cm="1">
        <f t="array" ref="R214">_xlfn.SWITCH(S214,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5" spans="1:18">
      <c r="A215" s="2" t="s">
        <v>1446</v>
      </c>
      <c r="B215" s="2">
        <v>10</v>
      </c>
      <c r="C215" s="2">
        <f>Wet_Wipes[[#This Row],[Желано количество]]</f>
        <v>10</v>
      </c>
      <c r="D215" s="31">
        <v>45838</v>
      </c>
      <c r="E215" s="2" t="s">
        <v>1212</v>
      </c>
      <c r="F215" s="32">
        <v>45769.244062500002</v>
      </c>
      <c r="G215" s="20"/>
      <c r="H215" s="2" t="s">
        <v>30</v>
      </c>
      <c r="I215" s="2" t="s">
        <v>300</v>
      </c>
      <c r="J215" s="31"/>
      <c r="K215" s="2"/>
      <c r="L215" s="31"/>
      <c r="M215" s="2"/>
      <c r="N215" s="2"/>
      <c r="O215" s="2">
        <f>Wet_Wipes[[#This Row],[Цена за 1 бр. в BGN]]*Wet_Wipes[[#This Row],[Поръчано Количество]]</f>
        <v>0</v>
      </c>
      <c r="P215" s="2"/>
      <c r="Q215" s="2"/>
      <c r="R215" s="2" t="str" cm="1">
        <f t="array" ref="R215">_xlfn.SWITCH(S215,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6" spans="1:18">
      <c r="A216" s="2" t="s">
        <v>1447</v>
      </c>
      <c r="B216" s="2">
        <v>1</v>
      </c>
      <c r="C216" s="2">
        <f>Wet_Wipes[[#This Row],[Желано количество]]</f>
        <v>1</v>
      </c>
      <c r="D216" s="31">
        <v>45838</v>
      </c>
      <c r="E216" s="2" t="s">
        <v>1182</v>
      </c>
      <c r="F216" s="32">
        <v>45769.245949074073</v>
      </c>
      <c r="G216" s="20" t="s">
        <v>257</v>
      </c>
      <c r="H216" s="2" t="s">
        <v>22</v>
      </c>
      <c r="I216" s="2" t="s">
        <v>101</v>
      </c>
      <c r="J216" s="31"/>
      <c r="K216" s="2"/>
      <c r="L216" s="31"/>
      <c r="M216" s="2"/>
      <c r="N216" s="2">
        <v>463.9</v>
      </c>
      <c r="O216" s="2">
        <f>Wet_Wipes[[#This Row],[Цена за 1 бр. в BGN]]*Wet_Wipes[[#This Row],[Поръчано Количество]]</f>
        <v>463.9</v>
      </c>
      <c r="P216" s="2"/>
      <c r="Q216" s="2"/>
      <c r="R216" s="2" t="str" cm="1">
        <f t="array" ref="R216">_xlfn.SWITCH(S216,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7" spans="1:18">
      <c r="A217" t="s">
        <v>1448</v>
      </c>
      <c r="B217">
        <v>3</v>
      </c>
      <c r="C217" s="2">
        <f>Wet_Wipes[[#This Row],[Желано количество]]</f>
        <v>3</v>
      </c>
      <c r="D217" s="28">
        <v>45838</v>
      </c>
      <c r="E217" t="s">
        <v>1208</v>
      </c>
      <c r="F217" s="30">
        <v>45771.362222222226</v>
      </c>
      <c r="G217" s="20"/>
      <c r="I217" s="2"/>
      <c r="J217" s="28"/>
      <c r="L217" s="28"/>
      <c r="O217" s="2">
        <f>Wet_Wipes[[#This Row],[Цена за 1 бр. в BGN]]*Wet_Wipes[[#This Row],[Поръчано Количество]]</f>
        <v>0</v>
      </c>
      <c r="R217" t="str" cm="1">
        <f t="array" ref="R217">_xlfn.SWITCH(S217,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8" spans="1:18">
      <c r="A218" t="s">
        <v>1449</v>
      </c>
      <c r="B218">
        <v>20</v>
      </c>
      <c r="C218" s="2">
        <f>Wet_Wipes[[#This Row],[Желано количество]]</f>
        <v>20</v>
      </c>
      <c r="D218" s="28">
        <v>45838</v>
      </c>
      <c r="E218" t="s">
        <v>1188</v>
      </c>
      <c r="F218" s="30">
        <v>45784.267708333333</v>
      </c>
      <c r="G218" s="20" t="s">
        <v>1258</v>
      </c>
      <c r="H218" t="s">
        <v>22</v>
      </c>
      <c r="I218" s="2" t="s">
        <v>1200</v>
      </c>
      <c r="J218" s="28"/>
      <c r="L218" s="28"/>
      <c r="O218" s="2">
        <f>Wet_Wipes[[#This Row],[Цена за 1 бр. в BGN]]*Wet_Wipes[[#This Row],[Поръчано Количество]]</f>
        <v>0</v>
      </c>
      <c r="R218" t="str" cm="1">
        <f t="array" ref="R218">_xlfn.SWITCH(S218,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19" spans="1:18">
      <c r="A219" t="s">
        <v>1450</v>
      </c>
      <c r="B219">
        <v>1</v>
      </c>
      <c r="C219" s="2">
        <f>Wet_Wipes[[#This Row],[Желано количество]]</f>
        <v>1</v>
      </c>
      <c r="D219" s="28">
        <v>45795</v>
      </c>
      <c r="E219" t="s">
        <v>63</v>
      </c>
      <c r="F219" s="30">
        <v>45787.202002314814</v>
      </c>
      <c r="G219" s="2">
        <v>177751</v>
      </c>
      <c r="H219" t="s">
        <v>22</v>
      </c>
      <c r="I219" t="s">
        <v>58</v>
      </c>
      <c r="J219" s="31" t="s">
        <v>1205</v>
      </c>
      <c r="L219" s="31">
        <v>45835</v>
      </c>
      <c r="M219">
        <v>1</v>
      </c>
      <c r="N219">
        <v>13.87</v>
      </c>
      <c r="O219" s="2">
        <f>Wet_Wipes[[#This Row],[Цена за 1 бр. в BGN]]*Wet_Wipes[[#This Row],[Поръчано Количество]]</f>
        <v>13.87</v>
      </c>
      <c r="R219" t="str" cm="1">
        <f t="array" ref="R219">_xlfn.SWITCH(S219,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0" spans="1:18">
      <c r="A220" t="s">
        <v>1451</v>
      </c>
      <c r="B220">
        <v>1</v>
      </c>
      <c r="C220" s="2">
        <f>Wet_Wipes[[#This Row],[Желано количество]]</f>
        <v>1</v>
      </c>
      <c r="D220" s="28">
        <v>45795</v>
      </c>
      <c r="E220" t="s">
        <v>63</v>
      </c>
      <c r="F220" s="30">
        <v>45787.202511574076</v>
      </c>
      <c r="G220" s="2">
        <v>177751</v>
      </c>
      <c r="H220" t="s">
        <v>22</v>
      </c>
      <c r="I220" t="s">
        <v>58</v>
      </c>
      <c r="J220" s="31" t="s">
        <v>1205</v>
      </c>
      <c r="L220" s="31">
        <v>45835</v>
      </c>
      <c r="M220">
        <v>1</v>
      </c>
      <c r="N220">
        <v>17.850000000000001</v>
      </c>
      <c r="O220" s="2">
        <f>Wet_Wipes[[#This Row],[Цена за 1 бр. в BGN]]*Wet_Wipes[[#This Row],[Поръчано Количество]]</f>
        <v>17.850000000000001</v>
      </c>
      <c r="R220" t="str" cm="1">
        <f t="array" ref="R220">_xlfn.SWITCH(S220,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1" spans="1:18">
      <c r="A221" t="s">
        <v>1452</v>
      </c>
      <c r="B221">
        <v>1</v>
      </c>
      <c r="C221" s="2">
        <f>Wet_Wipes[[#This Row],[Желано количество]]</f>
        <v>1</v>
      </c>
      <c r="D221" s="28">
        <v>45869</v>
      </c>
      <c r="E221" t="s">
        <v>1208</v>
      </c>
      <c r="F221" s="30">
        <v>45791.567766203705</v>
      </c>
      <c r="G221" s="20"/>
      <c r="I221" t="s">
        <v>137</v>
      </c>
      <c r="J221" s="28"/>
      <c r="L221" s="28"/>
      <c r="O221" s="2">
        <f>Wet_Wipes[[#This Row],[Цена за 1 бр. в BGN]]*Wet_Wipes[[#This Row],[Поръчано Количество]]</f>
        <v>0</v>
      </c>
      <c r="R221" t="str" cm="1">
        <f t="array" ref="R221">_xlfn.SWITCH(S221,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2" spans="1:18">
      <c r="A222" t="s">
        <v>1453</v>
      </c>
      <c r="B222">
        <v>30</v>
      </c>
      <c r="C222" s="2">
        <f>Wet_Wipes[[#This Row],[Желано количество]]</f>
        <v>30</v>
      </c>
      <c r="D222" s="28">
        <v>45838</v>
      </c>
      <c r="E222" t="s">
        <v>1208</v>
      </c>
      <c r="F222" s="30">
        <v>45804.785138888888</v>
      </c>
      <c r="G222" s="20" t="s">
        <v>1454</v>
      </c>
      <c r="H222" t="s">
        <v>22</v>
      </c>
      <c r="I222" t="s">
        <v>24</v>
      </c>
      <c r="J222" s="28"/>
      <c r="L222" s="28">
        <v>45867</v>
      </c>
      <c r="M222">
        <v>30</v>
      </c>
      <c r="N222">
        <v>3.62</v>
      </c>
      <c r="O222" s="2">
        <f>Wet_Wipes[[#This Row],[Цена за 1 бр. в BGN]]*Wet_Wipes[[#This Row],[Поръчано Количество]]</f>
        <v>108.60000000000001</v>
      </c>
      <c r="P222" t="s">
        <v>1455</v>
      </c>
      <c r="R222" t="str" cm="1">
        <f t="array" ref="R222">_xlfn.SWITCH(S222,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3" spans="1:18">
      <c r="A223" t="s">
        <v>1456</v>
      </c>
      <c r="B223">
        <v>5</v>
      </c>
      <c r="C223" s="2">
        <v>1</v>
      </c>
      <c r="D223" s="28">
        <v>45838</v>
      </c>
      <c r="E223" t="s">
        <v>1186</v>
      </c>
      <c r="F223" s="30">
        <v>45805.576319444444</v>
      </c>
      <c r="G223" s="20" t="s">
        <v>1457</v>
      </c>
      <c r="H223" t="s">
        <v>22</v>
      </c>
      <c r="I223" t="s">
        <v>1220</v>
      </c>
      <c r="J223" s="28">
        <v>45979</v>
      </c>
      <c r="L223" s="28"/>
      <c r="N223" s="24">
        <f>1.95583*161.3</f>
        <v>315.47537900000003</v>
      </c>
      <c r="O223" s="68">
        <f>Wet_Wipes[[#This Row],[Цена за 1 бр. в BGN]]*Wet_Wipes[[#This Row],[Поръчано Количество]]</f>
        <v>315.47537900000003</v>
      </c>
      <c r="R223" t="str" cm="1">
        <f t="array" ref="R223">_xlfn.SWITCH(S223,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4" spans="1:18">
      <c r="A224" t="s">
        <v>1458</v>
      </c>
      <c r="B224">
        <v>2</v>
      </c>
      <c r="C224" s="2">
        <f>Wet_Wipes[[#This Row],[Желано количество]]</f>
        <v>2</v>
      </c>
      <c r="D224" s="28">
        <v>45838</v>
      </c>
      <c r="E224" t="s">
        <v>1186</v>
      </c>
      <c r="F224" s="30">
        <v>45805.579710648148</v>
      </c>
      <c r="G224" s="20" t="s">
        <v>1457</v>
      </c>
      <c r="H224" t="s">
        <v>22</v>
      </c>
      <c r="I224" t="s">
        <v>1220</v>
      </c>
      <c r="J224" s="28">
        <v>46003</v>
      </c>
      <c r="L224" s="28"/>
      <c r="N224" s="24">
        <f>1.95583*312.5</f>
        <v>611.19687499999998</v>
      </c>
      <c r="O224" s="68">
        <f>Wet_Wipes[[#This Row],[Цена за 1 бр. в BGN]]*Wet_Wipes[[#This Row],[Поръчано Количество]]</f>
        <v>1222.39375</v>
      </c>
      <c r="R224" t="str" cm="1">
        <f t="array" ref="R224">_xlfn.SWITCH(S224,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5" spans="1:18">
      <c r="A225" t="s">
        <v>1459</v>
      </c>
      <c r="B225">
        <v>10</v>
      </c>
      <c r="C225" s="2">
        <v>6</v>
      </c>
      <c r="D225" s="28">
        <v>45838</v>
      </c>
      <c r="E225" t="s">
        <v>1186</v>
      </c>
      <c r="F225" s="30">
        <v>45805.582557870373</v>
      </c>
      <c r="G225" s="20" t="s">
        <v>1457</v>
      </c>
      <c r="H225" t="s">
        <v>22</v>
      </c>
      <c r="I225" t="s">
        <v>1220</v>
      </c>
      <c r="J225" s="28">
        <v>45979</v>
      </c>
      <c r="L225" s="28"/>
      <c r="N225" s="24">
        <f>1.95583*102.5</f>
        <v>200.47257500000001</v>
      </c>
      <c r="O225" s="35">
        <f>Wet_Wipes[[#This Row],[Цена за 1 бр. в BGN]]*Wet_Wipes[[#This Row],[Поръчано Количество]]</f>
        <v>1202.83545</v>
      </c>
      <c r="R225" t="str" cm="1">
        <f t="array" ref="R225">_xlfn.SWITCH(S225,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6" spans="1:18">
      <c r="A226" t="s">
        <v>1460</v>
      </c>
      <c r="B226">
        <v>20</v>
      </c>
      <c r="C226" s="2">
        <v>2</v>
      </c>
      <c r="D226" s="28">
        <v>45838</v>
      </c>
      <c r="E226" t="s">
        <v>1186</v>
      </c>
      <c r="F226" s="30">
        <v>45805.583912037036</v>
      </c>
      <c r="G226" s="20" t="s">
        <v>1457</v>
      </c>
      <c r="H226" t="s">
        <v>22</v>
      </c>
      <c r="I226" t="s">
        <v>1220</v>
      </c>
      <c r="J226" s="28">
        <v>45979</v>
      </c>
      <c r="L226" s="28"/>
      <c r="N226" s="24">
        <f>5*1.95583</f>
        <v>9.7791499999999996</v>
      </c>
      <c r="O226" s="35">
        <f>Wet_Wipes[[#This Row],[Цена за 1 бр. в BGN]]*Wet_Wipes[[#This Row],[Поръчано Количество]]</f>
        <v>19.558299999999999</v>
      </c>
      <c r="R226" t="str" cm="1">
        <f t="array" ref="R226">_xlfn.SWITCH(S226,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7" spans="1:18">
      <c r="A227" t="s">
        <v>1461</v>
      </c>
      <c r="B227">
        <v>1</v>
      </c>
      <c r="C227" s="2">
        <f>Wet_Wipes[[#This Row],[Желано количество]]</f>
        <v>1</v>
      </c>
      <c r="D227" s="28">
        <v>45838</v>
      </c>
      <c r="E227" t="s">
        <v>1182</v>
      </c>
      <c r="F227" s="30">
        <v>45807.39570601852</v>
      </c>
      <c r="G227" s="20" t="s">
        <v>1462</v>
      </c>
      <c r="H227" t="s">
        <v>22</v>
      </c>
      <c r="I227" t="s">
        <v>120</v>
      </c>
      <c r="J227" s="28"/>
      <c r="L227" s="28"/>
      <c r="O227" s="2">
        <f>Wet_Wipes[[#This Row],[Цена за 1 бр. в BGN]]*Wet_Wipes[[#This Row],[Поръчано Количество]]</f>
        <v>0</v>
      </c>
      <c r="R227" t="str" cm="1">
        <f t="array" ref="R227">_xlfn.SWITCH(S227,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8" spans="1:18">
      <c r="A228" t="s">
        <v>1463</v>
      </c>
      <c r="B228">
        <v>4</v>
      </c>
      <c r="C228" s="2">
        <f>Wet_Wipes[[#This Row],[Желано количество]]</f>
        <v>4</v>
      </c>
      <c r="D228" s="28">
        <v>45838</v>
      </c>
      <c r="E228" t="s">
        <v>1215</v>
      </c>
      <c r="F228" s="30">
        <v>45808.317812499998</v>
      </c>
      <c r="G228" s="20" t="s">
        <v>1216</v>
      </c>
      <c r="H228" t="s">
        <v>22</v>
      </c>
      <c r="I228" t="s">
        <v>104</v>
      </c>
      <c r="J228" s="28">
        <v>45856</v>
      </c>
      <c r="K228" t="s">
        <v>1217</v>
      </c>
      <c r="L228" s="28"/>
      <c r="N228">
        <v>80.59</v>
      </c>
      <c r="O228" s="2">
        <f>Wet_Wipes[[#This Row],[Цена за 1 бр. в BGN]]*Wet_Wipes[[#This Row],[Поръчано Количество]]</f>
        <v>322.36</v>
      </c>
      <c r="R228" t="str" cm="1">
        <f t="array" ref="R228">_xlfn.SWITCH(S228,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29" spans="1:18">
      <c r="A229" t="s">
        <v>1464</v>
      </c>
      <c r="B229">
        <v>5</v>
      </c>
      <c r="C229" s="2">
        <f>Wet_Wipes[[#This Row],[Желано количество]]</f>
        <v>5</v>
      </c>
      <c r="D229" s="28">
        <v>45838</v>
      </c>
      <c r="E229" t="s">
        <v>1188</v>
      </c>
      <c r="F229" s="30">
        <v>45808.318796296298</v>
      </c>
      <c r="G229" s="20"/>
      <c r="H229" t="s">
        <v>22</v>
      </c>
      <c r="I229" t="s">
        <v>120</v>
      </c>
      <c r="J229" s="28"/>
      <c r="L229" s="28"/>
      <c r="O229" s="2">
        <f>Wet_Wipes[[#This Row],[Цена за 1 бр. в BGN]]*Wet_Wipes[[#This Row],[Поръчано Количество]]</f>
        <v>0</v>
      </c>
      <c r="R229" t="str" cm="1">
        <f t="array" ref="R229">_xlfn.SWITCH(S229,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0" spans="1:18">
      <c r="A230" t="s">
        <v>1465</v>
      </c>
      <c r="B230">
        <v>1</v>
      </c>
      <c r="C230" s="2">
        <f>Wet_Wipes[[#This Row],[Желано количество]]</f>
        <v>1</v>
      </c>
      <c r="D230" s="28">
        <v>45838</v>
      </c>
      <c r="E230" t="s">
        <v>63</v>
      </c>
      <c r="F230" s="30">
        <v>45808.3202662037</v>
      </c>
      <c r="G230" s="38">
        <v>197470</v>
      </c>
      <c r="H230" t="s">
        <v>22</v>
      </c>
      <c r="I230" t="s">
        <v>58</v>
      </c>
      <c r="J230" s="28">
        <v>45972</v>
      </c>
      <c r="L230" s="28">
        <v>45972</v>
      </c>
      <c r="O230" s="2">
        <f>Wet_Wipes[[#This Row],[Цена за 1 бр. в BGN]]*Wet_Wipes[[#This Row],[Поръчано Количество]]</f>
        <v>0</v>
      </c>
      <c r="R230" t="str" cm="1">
        <f t="array" ref="R230">_xlfn.SWITCH(S230,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1" spans="1:18">
      <c r="A231" t="s">
        <v>1466</v>
      </c>
      <c r="B231">
        <v>2</v>
      </c>
      <c r="C231" s="2">
        <f>Wet_Wipes[[#This Row],[Желано количество]]</f>
        <v>2</v>
      </c>
      <c r="D231" s="28">
        <v>45838</v>
      </c>
      <c r="E231" t="s">
        <v>1188</v>
      </c>
      <c r="F231" s="30">
        <v>45808.321550925924</v>
      </c>
      <c r="G231" s="20"/>
      <c r="J231" s="28"/>
      <c r="L231" s="28"/>
      <c r="O231" s="2">
        <f>Wet_Wipes[[#This Row],[Цена за 1 бр. в BGN]]*Wet_Wipes[[#This Row],[Поръчано Количество]]</f>
        <v>0</v>
      </c>
      <c r="R231" t="str" cm="1">
        <f t="array" ref="R231">_xlfn.SWITCH(S231,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2" spans="1:18">
      <c r="A232" t="s">
        <v>1467</v>
      </c>
      <c r="B232">
        <v>3</v>
      </c>
      <c r="C232" s="2">
        <f>Wet_Wipes[[#This Row],[Желано количество]]</f>
        <v>3</v>
      </c>
      <c r="D232" s="28">
        <v>45838</v>
      </c>
      <c r="E232" t="s">
        <v>1188</v>
      </c>
      <c r="F232" s="30">
        <v>45808.322141203702</v>
      </c>
      <c r="G232" s="20"/>
      <c r="H232" t="s">
        <v>22</v>
      </c>
      <c r="J232" s="28"/>
      <c r="L232" s="28"/>
      <c r="O232" s="2">
        <f>Wet_Wipes[[#This Row],[Цена за 1 бр. в BGN]]*Wet_Wipes[[#This Row],[Поръчано Количество]]</f>
        <v>0</v>
      </c>
      <c r="R232" t="str" cm="1">
        <f t="array" ref="R232">_xlfn.SWITCH(S232,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3" spans="1:18">
      <c r="A233" t="s">
        <v>1468</v>
      </c>
      <c r="B233">
        <v>12</v>
      </c>
      <c r="C233" s="2">
        <f>Wet_Wipes[[#This Row],[Желано количество]]</f>
        <v>12</v>
      </c>
      <c r="D233" s="28">
        <v>45838</v>
      </c>
      <c r="E233" t="s">
        <v>1188</v>
      </c>
      <c r="F233" s="30">
        <v>45808.325243055559</v>
      </c>
      <c r="G233" s="20"/>
      <c r="H233" t="s">
        <v>22</v>
      </c>
      <c r="J233" s="28"/>
      <c r="L233" s="28"/>
      <c r="O233" s="2">
        <f>Wet_Wipes[[#This Row],[Цена за 1 бр. в BGN]]*Wet_Wipes[[#This Row],[Поръчано Количество]]</f>
        <v>0</v>
      </c>
      <c r="R233" t="str" cm="1">
        <f t="array" ref="R233">_xlfn.SWITCH(S233,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4" spans="1:18">
      <c r="A234" t="s">
        <v>863</v>
      </c>
      <c r="B234">
        <v>2</v>
      </c>
      <c r="C234" s="2">
        <f>Wet_Wipes[[#This Row],[Желано количество]]</f>
        <v>2</v>
      </c>
      <c r="D234" s="28">
        <v>45838</v>
      </c>
      <c r="E234" t="s">
        <v>1188</v>
      </c>
      <c r="F234" s="30">
        <v>45811.252685185187</v>
      </c>
      <c r="G234" s="20"/>
      <c r="J234" s="28"/>
      <c r="L234" s="28"/>
      <c r="O234" s="2">
        <f>Wet_Wipes[[#This Row],[Цена за 1 бр. в BGN]]*Wet_Wipes[[#This Row],[Поръчано Количество]]</f>
        <v>0</v>
      </c>
      <c r="R234" t="str" cm="1">
        <f t="array" ref="R234">_xlfn.SWITCH(S234,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5" spans="1:18">
      <c r="A235" t="s">
        <v>1469</v>
      </c>
      <c r="B235">
        <v>100</v>
      </c>
      <c r="C235" s="2">
        <v>20</v>
      </c>
      <c r="D235" s="28">
        <v>45869</v>
      </c>
      <c r="E235" t="s">
        <v>1182</v>
      </c>
      <c r="F235" s="30">
        <v>45811.261388888888</v>
      </c>
      <c r="G235" s="20" t="s">
        <v>1470</v>
      </c>
      <c r="H235" t="s">
        <v>22</v>
      </c>
      <c r="I235" t="s">
        <v>1325</v>
      </c>
      <c r="J235" s="28">
        <v>45842</v>
      </c>
      <c r="L235" s="28"/>
      <c r="N235">
        <f>60*1.95583</f>
        <v>117.3498</v>
      </c>
      <c r="O235" s="2">
        <f>Wet_Wipes[[#This Row],[Цена за 1 бр. в BGN]]*Wet_Wipes[[#This Row],[Поръчано Количество]]</f>
        <v>2346.9960000000001</v>
      </c>
      <c r="R235" t="str" cm="1">
        <f t="array" ref="R235">_xlfn.SWITCH(S235,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6" spans="1:18">
      <c r="A236" t="s">
        <v>1471</v>
      </c>
      <c r="B236">
        <v>1</v>
      </c>
      <c r="C236" s="2">
        <f>Wet_Wipes[[#This Row],[Желано количество]]</f>
        <v>1</v>
      </c>
      <c r="D236" s="28">
        <v>45869</v>
      </c>
      <c r="E236" t="s">
        <v>1186</v>
      </c>
      <c r="F236" s="30">
        <v>45817.798113425924</v>
      </c>
      <c r="G236" s="20" t="s">
        <v>1472</v>
      </c>
      <c r="H236" t="s">
        <v>22</v>
      </c>
      <c r="I236" t="s">
        <v>46</v>
      </c>
      <c r="J236" s="28">
        <v>45989</v>
      </c>
      <c r="L236" s="28"/>
      <c r="N236">
        <v>858</v>
      </c>
      <c r="O236" s="2">
        <f>Wet_Wipes[[#This Row],[Цена за 1 бр. в BGN]]*Wet_Wipes[[#This Row],[Поръчано Количество]]</f>
        <v>858</v>
      </c>
      <c r="R236" t="str" cm="1">
        <f t="array" ref="R236">_xlfn.SWITCH(S236,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7" spans="1:18">
      <c r="A237" t="s">
        <v>1251</v>
      </c>
      <c r="B237">
        <v>2</v>
      </c>
      <c r="C237" s="2">
        <f>Wet_Wipes[[#This Row],[Желано количество]]</f>
        <v>2</v>
      </c>
      <c r="D237" s="28">
        <v>45838</v>
      </c>
      <c r="E237" t="s">
        <v>1186</v>
      </c>
      <c r="F237" s="30">
        <v>45817.799016203702</v>
      </c>
      <c r="G237" s="20" t="s">
        <v>1252</v>
      </c>
      <c r="H237" t="s">
        <v>780</v>
      </c>
      <c r="I237" t="s">
        <v>46</v>
      </c>
      <c r="J237" s="28"/>
      <c r="L237" s="28"/>
      <c r="O237" s="2">
        <f>Wet_Wipes[[#This Row],[Цена за 1 бр. в BGN]]*Wet_Wipes[[#This Row],[Поръчано Количество]]</f>
        <v>0</v>
      </c>
      <c r="R237" t="str" cm="1">
        <f t="array" ref="R237">_xlfn.SWITCH(S237,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8" spans="1:18">
      <c r="A238" t="s">
        <v>1473</v>
      </c>
      <c r="B238">
        <v>2</v>
      </c>
      <c r="C238" s="2">
        <v>1</v>
      </c>
      <c r="D238" s="28">
        <v>45869</v>
      </c>
      <c r="E238" t="s">
        <v>1208</v>
      </c>
      <c r="F238" s="30">
        <v>45817.800543981481</v>
      </c>
      <c r="G238" s="20" t="s">
        <v>1472</v>
      </c>
      <c r="H238" t="s">
        <v>22</v>
      </c>
      <c r="I238" t="s">
        <v>46</v>
      </c>
      <c r="J238" s="28">
        <v>45989</v>
      </c>
      <c r="L238" s="28"/>
      <c r="N238">
        <v>1660</v>
      </c>
      <c r="O238" s="2">
        <f>Wet_Wipes[[#This Row],[Цена за 1 бр. в BGN]]*Wet_Wipes[[#This Row],[Поръчано Количество]]</f>
        <v>1660</v>
      </c>
      <c r="R238" t="str" cm="1">
        <f t="array" ref="R238">_xlfn.SWITCH(S238,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39" spans="1:18">
      <c r="A239" t="s">
        <v>1474</v>
      </c>
      <c r="B239">
        <v>10</v>
      </c>
      <c r="C239" s="2">
        <f>Wet_Wipes[[#This Row],[Желано количество]]</f>
        <v>10</v>
      </c>
      <c r="D239" s="28">
        <v>45838</v>
      </c>
      <c r="E239" t="s">
        <v>1208</v>
      </c>
      <c r="F239" s="30">
        <v>45817.80369212963</v>
      </c>
      <c r="G239" s="20" t="s">
        <v>1472</v>
      </c>
      <c r="H239" t="s">
        <v>22</v>
      </c>
      <c r="I239" t="s">
        <v>46</v>
      </c>
      <c r="J239" s="28">
        <v>45989</v>
      </c>
      <c r="L239" s="28"/>
      <c r="N239">
        <v>14.5</v>
      </c>
      <c r="O239" s="2">
        <f>Wet_Wipes[[#This Row],[Цена за 1 бр. в BGN]]*Wet_Wipes[[#This Row],[Поръчано Количество]]</f>
        <v>145</v>
      </c>
      <c r="R239" t="str" cm="1">
        <f t="array" ref="R239">_xlfn.SWITCH(S239,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0" spans="1:18">
      <c r="A240" t="s">
        <v>1475</v>
      </c>
      <c r="B240">
        <v>6</v>
      </c>
      <c r="C240" s="2">
        <f>Wet_Wipes[[#This Row],[Желано количество]]</f>
        <v>6</v>
      </c>
      <c r="D240" s="28">
        <v>45838</v>
      </c>
      <c r="E240" t="s">
        <v>1208</v>
      </c>
      <c r="F240" s="30">
        <v>45817.804942129631</v>
      </c>
      <c r="G240" s="20" t="s">
        <v>1472</v>
      </c>
      <c r="H240" t="s">
        <v>22</v>
      </c>
      <c r="I240" t="s">
        <v>46</v>
      </c>
      <c r="J240" s="28">
        <v>45989</v>
      </c>
      <c r="L240" s="28"/>
      <c r="N240">
        <v>68.8</v>
      </c>
      <c r="O240" s="2">
        <f>Wet_Wipes[[#This Row],[Цена за 1 бр. в BGN]]*Wet_Wipes[[#This Row],[Поръчано Количество]]</f>
        <v>412.79999999999995</v>
      </c>
      <c r="R240" t="str" cm="1">
        <f t="array" ref="R240">_xlfn.SWITCH(S240,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1" spans="1:18">
      <c r="A241" t="s">
        <v>1476</v>
      </c>
      <c r="B241">
        <v>10</v>
      </c>
      <c r="C241" s="2">
        <f>Wet_Wipes[[#This Row],[Желано количество]]</f>
        <v>10</v>
      </c>
      <c r="D241" s="28">
        <v>45838</v>
      </c>
      <c r="E241" t="s">
        <v>1208</v>
      </c>
      <c r="F241" s="30">
        <v>45817.805335648147</v>
      </c>
      <c r="G241" s="20"/>
      <c r="H241" t="s">
        <v>22</v>
      </c>
      <c r="I241" t="s">
        <v>46</v>
      </c>
      <c r="J241" s="28"/>
      <c r="L241" s="28"/>
      <c r="O241" s="2">
        <f>Wet_Wipes[[#This Row],[Цена за 1 бр. в BGN]]*Wet_Wipes[[#This Row],[Поръчано Количество]]</f>
        <v>0</v>
      </c>
      <c r="R241" t="str" cm="1">
        <f t="array" ref="R241">_xlfn.SWITCH(S241,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2" spans="1:18">
      <c r="A242" t="s">
        <v>1477</v>
      </c>
      <c r="B242">
        <v>6</v>
      </c>
      <c r="C242" s="2">
        <f>Wet_Wipes[[#This Row],[Желано количество]]</f>
        <v>6</v>
      </c>
      <c r="D242" s="28">
        <v>45838</v>
      </c>
      <c r="E242" t="s">
        <v>1208</v>
      </c>
      <c r="F242" s="30">
        <v>45817.806435185186</v>
      </c>
      <c r="G242" s="20" t="s">
        <v>1472</v>
      </c>
      <c r="H242" t="s">
        <v>22</v>
      </c>
      <c r="I242" t="s">
        <v>46</v>
      </c>
      <c r="J242" s="28">
        <v>45989</v>
      </c>
      <c r="L242" s="28"/>
      <c r="O242" s="2">
        <f>Wet_Wipes[[#This Row],[Цена за 1 бр. в BGN]]*Wet_Wipes[[#This Row],[Поръчано Количество]]</f>
        <v>0</v>
      </c>
      <c r="R242" t="str" cm="1">
        <f t="array" ref="R242">_xlfn.SWITCH(S242,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3" spans="1:18">
      <c r="A243" t="s">
        <v>1478</v>
      </c>
      <c r="B243">
        <v>1</v>
      </c>
      <c r="C243" s="2">
        <v>0</v>
      </c>
      <c r="D243" s="28">
        <v>45869</v>
      </c>
      <c r="E243" t="s">
        <v>1215</v>
      </c>
      <c r="F243" s="30">
        <v>45817.807939814818</v>
      </c>
      <c r="G243" s="20" t="s">
        <v>1457</v>
      </c>
      <c r="H243" t="s">
        <v>780</v>
      </c>
      <c r="I243" t="s">
        <v>1220</v>
      </c>
      <c r="J243" s="28"/>
      <c r="L243" s="28"/>
      <c r="N243" s="24"/>
      <c r="O243" s="35">
        <f>Wet_Wipes[[#This Row],[Цена за 1 бр. в BGN]]*Wet_Wipes[[#This Row],[Поръчано Количество]]</f>
        <v>0</v>
      </c>
      <c r="R243" t="str" cm="1">
        <f t="array" ref="R243">_xlfn.SWITCH(S243,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4" spans="1:18">
      <c r="A244" t="s">
        <v>1479</v>
      </c>
      <c r="B244">
        <v>2</v>
      </c>
      <c r="C244" s="2">
        <v>1</v>
      </c>
      <c r="D244" s="28">
        <v>45838</v>
      </c>
      <c r="E244" t="s">
        <v>1215</v>
      </c>
      <c r="F244" s="30">
        <v>45817.80840277778</v>
      </c>
      <c r="G244" s="20" t="s">
        <v>1457</v>
      </c>
      <c r="H244" t="s">
        <v>22</v>
      </c>
      <c r="I244" t="s">
        <v>1220</v>
      </c>
      <c r="J244" s="28">
        <v>46003</v>
      </c>
      <c r="L244" s="28"/>
      <c r="N244" s="24">
        <f>1.95583*757</f>
        <v>1480.56331</v>
      </c>
      <c r="O244" s="35">
        <f>Wet_Wipes[[#This Row],[Цена за 1 бр. в BGN]]*Wet_Wipes[[#This Row],[Поръчано Количество]]</f>
        <v>1480.56331</v>
      </c>
      <c r="R244" t="str" cm="1">
        <f t="array" ref="R244">_xlfn.SWITCH(S244,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5" spans="1:18">
      <c r="A245" t="s">
        <v>1480</v>
      </c>
      <c r="B245">
        <v>2</v>
      </c>
      <c r="C245" s="2">
        <f>Wet_Wipes[[#This Row],[Желано количество]]</f>
        <v>2</v>
      </c>
      <c r="D245" s="28">
        <v>45838</v>
      </c>
      <c r="E245" t="s">
        <v>1215</v>
      </c>
      <c r="F245" s="30">
        <v>45817.808993055558</v>
      </c>
      <c r="G245" s="20" t="s">
        <v>1457</v>
      </c>
      <c r="H245" t="s">
        <v>22</v>
      </c>
      <c r="I245" t="s">
        <v>1220</v>
      </c>
      <c r="J245" s="28">
        <v>46003</v>
      </c>
      <c r="L245" s="28"/>
      <c r="N245" s="24">
        <f>121.94*1.95583</f>
        <v>238.49391019999999</v>
      </c>
      <c r="O245" s="35">
        <f>Wet_Wipes[[#This Row],[Цена за 1 бр. в BGN]]*Wet_Wipes[[#This Row],[Поръчано Количество]]</f>
        <v>476.98782039999998</v>
      </c>
      <c r="R245" t="str" cm="1">
        <f t="array" ref="R245">_xlfn.SWITCH(S245,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6" spans="1:18">
      <c r="A246" t="s">
        <v>1481</v>
      </c>
      <c r="B246">
        <v>2</v>
      </c>
      <c r="C246" s="2">
        <v>1</v>
      </c>
      <c r="D246" s="28">
        <v>45838</v>
      </c>
      <c r="E246" t="s">
        <v>1215</v>
      </c>
      <c r="F246" s="30">
        <v>45817.809444444443</v>
      </c>
      <c r="G246" s="20" t="s">
        <v>1457</v>
      </c>
      <c r="H246" t="s">
        <v>22</v>
      </c>
      <c r="I246" t="s">
        <v>1220</v>
      </c>
      <c r="J246" s="28">
        <v>45979</v>
      </c>
      <c r="L246" s="28"/>
      <c r="N246" s="24">
        <f>1.95583*284.5</f>
        <v>556.43363499999998</v>
      </c>
      <c r="O246" s="35">
        <f>Wet_Wipes[[#This Row],[Цена за 1 бр. в BGN]]*Wet_Wipes[[#This Row],[Поръчано Количество]]</f>
        <v>556.43363499999998</v>
      </c>
      <c r="R246" t="str" cm="1">
        <f t="array" ref="R246">_xlfn.SWITCH(S246,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7" spans="1:18">
      <c r="A247" t="s">
        <v>1482</v>
      </c>
      <c r="B247">
        <v>2</v>
      </c>
      <c r="C247" s="2">
        <f>Wet_Wipes[[#This Row],[Желано количество]]</f>
        <v>2</v>
      </c>
      <c r="D247" s="28">
        <v>45838</v>
      </c>
      <c r="E247" t="s">
        <v>1215</v>
      </c>
      <c r="F247" s="30">
        <v>45817.810034722221</v>
      </c>
      <c r="G247" s="20" t="s">
        <v>1457</v>
      </c>
      <c r="H247" t="s">
        <v>22</v>
      </c>
      <c r="I247" t="s">
        <v>1220</v>
      </c>
      <c r="J247" s="28">
        <v>46003</v>
      </c>
      <c r="L247" s="28"/>
      <c r="N247" s="24">
        <f>1.95583*76.4</f>
        <v>149.42541199999999</v>
      </c>
      <c r="O247" s="35">
        <f>Wet_Wipes[[#This Row],[Цена за 1 бр. в BGN]]*Wet_Wipes[[#This Row],[Поръчано Количество]]</f>
        <v>298.85082399999999</v>
      </c>
      <c r="R247" t="str" cm="1">
        <f t="array" ref="R247">_xlfn.SWITCH(S247,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8" spans="1:18">
      <c r="A248" t="s">
        <v>1483</v>
      </c>
      <c r="B248">
        <v>2</v>
      </c>
      <c r="C248" s="2">
        <f>Wet_Wipes[[#This Row],[Желано количество]]</f>
        <v>2</v>
      </c>
      <c r="D248" s="28">
        <v>45838</v>
      </c>
      <c r="E248" t="s">
        <v>1188</v>
      </c>
      <c r="F248" s="30">
        <v>45817.812280092592</v>
      </c>
      <c r="G248" s="20" t="s">
        <v>1216</v>
      </c>
      <c r="H248" t="s">
        <v>22</v>
      </c>
      <c r="I248" t="s">
        <v>104</v>
      </c>
      <c r="J248" s="28">
        <v>45856</v>
      </c>
      <c r="K248" t="s">
        <v>1217</v>
      </c>
      <c r="L248" s="28"/>
      <c r="N248">
        <v>95.57</v>
      </c>
      <c r="O248" s="2">
        <f>Wet_Wipes[[#This Row],[Цена за 1 бр. в BGN]]*Wet_Wipes[[#This Row],[Поръчано Количество]]</f>
        <v>191.14</v>
      </c>
      <c r="R248" t="str" cm="1">
        <f t="array" ref="R248">_xlfn.SWITCH(S248,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49" spans="1:18">
      <c r="A249" t="s">
        <v>1484</v>
      </c>
      <c r="B249">
        <v>2</v>
      </c>
      <c r="C249" s="2">
        <f>Wet_Wipes[[#This Row],[Желано количество]]</f>
        <v>2</v>
      </c>
      <c r="D249" s="28">
        <v>45838</v>
      </c>
      <c r="E249" t="s">
        <v>1215</v>
      </c>
      <c r="F249" s="30">
        <v>45817.812905092593</v>
      </c>
      <c r="G249" s="20" t="s">
        <v>1216</v>
      </c>
      <c r="H249" t="s">
        <v>22</v>
      </c>
      <c r="I249" t="s">
        <v>104</v>
      </c>
      <c r="J249" s="28">
        <v>45856</v>
      </c>
      <c r="K249" t="s">
        <v>1217</v>
      </c>
      <c r="L249" s="28"/>
      <c r="N249">
        <v>430.19</v>
      </c>
      <c r="O249" s="2">
        <f>Wet_Wipes[[#This Row],[Цена за 1 бр. в BGN]]*Wet_Wipes[[#This Row],[Поръчано Количество]]</f>
        <v>860.38</v>
      </c>
      <c r="R249" t="str" cm="1">
        <f t="array" ref="R249">_xlfn.SWITCH(S249,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0" spans="1:18">
      <c r="A250" t="s">
        <v>1485</v>
      </c>
      <c r="B250">
        <v>10</v>
      </c>
      <c r="C250" s="2">
        <f>Wet_Wipes[[#This Row],[Желано количество]]</f>
        <v>10</v>
      </c>
      <c r="D250" s="28">
        <v>45869</v>
      </c>
      <c r="E250" t="s">
        <v>1188</v>
      </c>
      <c r="F250" s="30">
        <v>45817.814247685186</v>
      </c>
      <c r="G250" s="20" t="s">
        <v>1454</v>
      </c>
      <c r="H250" t="s">
        <v>22</v>
      </c>
      <c r="I250" t="s">
        <v>24</v>
      </c>
      <c r="J250" s="28"/>
      <c r="L250" s="28">
        <v>45867</v>
      </c>
      <c r="M250">
        <v>10</v>
      </c>
      <c r="N250">
        <v>9.99</v>
      </c>
      <c r="O250" s="2">
        <f>Wet_Wipes[[#This Row],[Цена за 1 бр. в BGN]]*Wet_Wipes[[#This Row],[Поръчано Количество]]</f>
        <v>99.9</v>
      </c>
      <c r="P250" t="s">
        <v>1455</v>
      </c>
      <c r="R250" t="str" cm="1">
        <f t="array" ref="R250">_xlfn.SWITCH(S250,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1" spans="1:18">
      <c r="A251" t="s">
        <v>1486</v>
      </c>
      <c r="B251">
        <v>2</v>
      </c>
      <c r="C251" s="2">
        <f>Wet_Wipes[[#This Row],[Желано количество]]</f>
        <v>2</v>
      </c>
      <c r="D251" s="28">
        <v>45869</v>
      </c>
      <c r="E251" t="s">
        <v>1188</v>
      </c>
      <c r="F251" s="30">
        <v>45817.82</v>
      </c>
      <c r="G251" s="20" t="s">
        <v>1454</v>
      </c>
      <c r="H251" t="s">
        <v>22</v>
      </c>
      <c r="I251" t="s">
        <v>24</v>
      </c>
      <c r="J251" s="28"/>
      <c r="L251" s="28">
        <v>45867</v>
      </c>
      <c r="M251">
        <v>2</v>
      </c>
      <c r="N251">
        <v>28.65</v>
      </c>
      <c r="O251" s="2">
        <f>Wet_Wipes[[#This Row],[Цена за 1 бр. в BGN]]*Wet_Wipes[[#This Row],[Поръчано Количество]]</f>
        <v>57.3</v>
      </c>
      <c r="P251" t="s">
        <v>1455</v>
      </c>
      <c r="R251" t="str" cm="1">
        <f t="array" ref="R251">_xlfn.SWITCH(S251,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2" spans="1:18">
      <c r="A252" t="s">
        <v>1487</v>
      </c>
      <c r="B252">
        <v>5</v>
      </c>
      <c r="C252" s="2">
        <f>Wet_Wipes[[#This Row],[Желано количество]]</f>
        <v>5</v>
      </c>
      <c r="D252" s="28">
        <v>45838</v>
      </c>
      <c r="E252" t="s">
        <v>1186</v>
      </c>
      <c r="F252" s="30">
        <v>45817.821018518516</v>
      </c>
      <c r="G252" s="20" t="s">
        <v>1454</v>
      </c>
      <c r="H252" t="s">
        <v>22</v>
      </c>
      <c r="I252" t="s">
        <v>24</v>
      </c>
      <c r="J252" s="28"/>
      <c r="L252" s="28"/>
      <c r="N252">
        <v>89.16</v>
      </c>
      <c r="O252" s="2">
        <f>Wet_Wipes[[#This Row],[Цена за 1 бр. в BGN]]*Wet_Wipes[[#This Row],[Поръчано Количество]]</f>
        <v>445.79999999999995</v>
      </c>
      <c r="R252" t="str" cm="1">
        <f t="array" ref="R252">_xlfn.SWITCH(S252,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3" spans="1:18">
      <c r="A253" t="s">
        <v>1488</v>
      </c>
      <c r="B253">
        <v>4</v>
      </c>
      <c r="C253" s="2">
        <f>Wet_Wipes[[#This Row],[Желано количество]]</f>
        <v>4</v>
      </c>
      <c r="D253" s="28">
        <v>45869</v>
      </c>
      <c r="E253" t="s">
        <v>1188</v>
      </c>
      <c r="F253" s="30">
        <v>45817.822800925926</v>
      </c>
      <c r="G253" s="20" t="s">
        <v>1454</v>
      </c>
      <c r="H253" t="s">
        <v>22</v>
      </c>
      <c r="I253" t="s">
        <v>24</v>
      </c>
      <c r="J253" s="28"/>
      <c r="L253" s="28">
        <v>45867</v>
      </c>
      <c r="M253">
        <v>4</v>
      </c>
      <c r="N253">
        <v>8.6999999999999993</v>
      </c>
      <c r="O253" s="2">
        <f>Wet_Wipes[[#This Row],[Цена за 1 бр. в BGN]]*Wet_Wipes[[#This Row],[Поръчано Количество]]</f>
        <v>34.799999999999997</v>
      </c>
      <c r="P253" t="s">
        <v>1455</v>
      </c>
      <c r="R253" t="str" cm="1">
        <f t="array" ref="R253">_xlfn.SWITCH(S253,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4" spans="1:18">
      <c r="A254" t="s">
        <v>1489</v>
      </c>
      <c r="B254">
        <v>4</v>
      </c>
      <c r="C254" s="2">
        <f>Wet_Wipes[[#This Row],[Желано количество]]</f>
        <v>4</v>
      </c>
      <c r="D254" s="28">
        <v>45869</v>
      </c>
      <c r="E254" t="s">
        <v>1188</v>
      </c>
      <c r="F254" s="30">
        <v>45817.823101851849</v>
      </c>
      <c r="G254" s="20" t="s">
        <v>1454</v>
      </c>
      <c r="H254" t="s">
        <v>22</v>
      </c>
      <c r="I254" t="s">
        <v>24</v>
      </c>
      <c r="J254" s="28"/>
      <c r="L254" s="28">
        <v>45867</v>
      </c>
      <c r="M254">
        <v>4</v>
      </c>
      <c r="N254">
        <v>4.79</v>
      </c>
      <c r="O254" s="2">
        <f>Wet_Wipes[[#This Row],[Цена за 1 бр. в BGN]]*Wet_Wipes[[#This Row],[Поръчано Количество]]</f>
        <v>19.16</v>
      </c>
      <c r="P254" t="s">
        <v>1455</v>
      </c>
      <c r="R254" t="str" cm="1">
        <f t="array" ref="R254">_xlfn.SWITCH(S254,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5" spans="1:18">
      <c r="A255" t="s">
        <v>1490</v>
      </c>
      <c r="B255">
        <v>10</v>
      </c>
      <c r="C255" s="2">
        <f>Wet_Wipes[[#This Row],[Желано количество]]</f>
        <v>10</v>
      </c>
      <c r="D255" s="28">
        <v>45869</v>
      </c>
      <c r="E255" t="s">
        <v>1188</v>
      </c>
      <c r="F255" s="30">
        <v>45817.823472222219</v>
      </c>
      <c r="G255" s="20" t="s">
        <v>1454</v>
      </c>
      <c r="H255" t="s">
        <v>22</v>
      </c>
      <c r="I255" t="s">
        <v>24</v>
      </c>
      <c r="J255" s="28"/>
      <c r="L255" s="28">
        <v>45867</v>
      </c>
      <c r="M255">
        <v>10</v>
      </c>
      <c r="N255">
        <v>9.8729999999999993</v>
      </c>
      <c r="O255" s="2">
        <f>Wet_Wipes[[#This Row],[Цена за 1 бр. в BGN]]*Wet_Wipes[[#This Row],[Поръчано Количество]]</f>
        <v>98.72999999999999</v>
      </c>
      <c r="P255" t="s">
        <v>1455</v>
      </c>
      <c r="R255" t="str" cm="1">
        <f t="array" ref="R255">_xlfn.SWITCH(S255,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6" spans="1:18">
      <c r="A256" t="s">
        <v>1491</v>
      </c>
      <c r="B256">
        <v>10</v>
      </c>
      <c r="C256" s="2">
        <f>Wet_Wipes[[#This Row],[Желано количество]]</f>
        <v>10</v>
      </c>
      <c r="D256" s="28">
        <v>45838</v>
      </c>
      <c r="E256" t="s">
        <v>1188</v>
      </c>
      <c r="F256" s="30">
        <v>45817.823946759258</v>
      </c>
      <c r="G256" s="20" t="s">
        <v>1454</v>
      </c>
      <c r="H256" t="s">
        <v>22</v>
      </c>
      <c r="I256" t="s">
        <v>24</v>
      </c>
      <c r="J256" s="28"/>
      <c r="L256" s="28">
        <v>45867</v>
      </c>
      <c r="M256">
        <v>10</v>
      </c>
      <c r="N256">
        <v>12.47</v>
      </c>
      <c r="O256" s="2">
        <f>Wet_Wipes[[#This Row],[Цена за 1 бр. в BGN]]*Wet_Wipes[[#This Row],[Поръчано Количество]]</f>
        <v>124.7</v>
      </c>
      <c r="P256" t="s">
        <v>1455</v>
      </c>
      <c r="R256" t="str" cm="1">
        <f t="array" ref="R256">_xlfn.SWITCH(S256,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7" spans="1:18">
      <c r="A257" t="s">
        <v>1492</v>
      </c>
      <c r="B257">
        <v>10</v>
      </c>
      <c r="C257" s="2">
        <f>Wet_Wipes[[#This Row],[Желано количество]]</f>
        <v>10</v>
      </c>
      <c r="D257" s="28">
        <v>45838</v>
      </c>
      <c r="E257" t="s">
        <v>1188</v>
      </c>
      <c r="F257" s="30">
        <v>45817.824282407404</v>
      </c>
      <c r="G257" s="20" t="s">
        <v>1454</v>
      </c>
      <c r="H257" t="s">
        <v>22</v>
      </c>
      <c r="I257" t="s">
        <v>24</v>
      </c>
      <c r="J257" s="28"/>
      <c r="L257" s="28">
        <v>45867</v>
      </c>
      <c r="M257">
        <v>10</v>
      </c>
      <c r="N257">
        <v>8.07</v>
      </c>
      <c r="O257" s="2">
        <f>Wet_Wipes[[#This Row],[Цена за 1 бр. в BGN]]*Wet_Wipes[[#This Row],[Поръчано Количество]]</f>
        <v>80.7</v>
      </c>
      <c r="P257" t="s">
        <v>1455</v>
      </c>
      <c r="R257" t="str" cm="1">
        <f t="array" ref="R257">_xlfn.SWITCH(S257,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8" spans="1:18">
      <c r="A258" t="s">
        <v>1493</v>
      </c>
      <c r="B258">
        <v>10</v>
      </c>
      <c r="C258" s="2">
        <f>Wet_Wipes[[#This Row],[Желано количество]]</f>
        <v>10</v>
      </c>
      <c r="D258" s="28">
        <v>45838</v>
      </c>
      <c r="E258" t="s">
        <v>1188</v>
      </c>
      <c r="F258" s="30">
        <v>45817.824606481481</v>
      </c>
      <c r="G258" s="20" t="s">
        <v>1454</v>
      </c>
      <c r="H258" t="s">
        <v>22</v>
      </c>
      <c r="I258" t="s">
        <v>24</v>
      </c>
      <c r="J258" s="28"/>
      <c r="L258" s="28" t="s">
        <v>1494</v>
      </c>
      <c r="M258">
        <v>10</v>
      </c>
      <c r="N258">
        <v>8.1300000000000008</v>
      </c>
      <c r="O258" s="2">
        <f>Wet_Wipes[[#This Row],[Цена за 1 бр. в BGN]]*Wet_Wipes[[#This Row],[Поръчано Количество]]</f>
        <v>81.300000000000011</v>
      </c>
      <c r="P258" t="s">
        <v>1455</v>
      </c>
      <c r="R258" t="str" cm="1">
        <f t="array" ref="R258">_xlfn.SWITCH(S258,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59" spans="1:18">
      <c r="A259" t="s">
        <v>1495</v>
      </c>
      <c r="B259">
        <v>4</v>
      </c>
      <c r="C259" s="2">
        <f>Wet_Wipes[[#This Row],[Желано количество]]</f>
        <v>4</v>
      </c>
      <c r="D259" s="28">
        <v>45838</v>
      </c>
      <c r="E259" t="s">
        <v>1285</v>
      </c>
      <c r="F259" s="30">
        <v>45817.825057870374</v>
      </c>
      <c r="G259" s="20" t="s">
        <v>1454</v>
      </c>
      <c r="H259" t="s">
        <v>22</v>
      </c>
      <c r="I259" t="s">
        <v>24</v>
      </c>
      <c r="J259" s="28"/>
      <c r="L259" s="28">
        <v>45867</v>
      </c>
      <c r="M259">
        <v>4</v>
      </c>
      <c r="N259">
        <v>23.79</v>
      </c>
      <c r="O259" s="2">
        <f>Wet_Wipes[[#This Row],[Цена за 1 бр. в BGN]]*Wet_Wipes[[#This Row],[Поръчано Количество]]</f>
        <v>95.16</v>
      </c>
      <c r="P259" t="s">
        <v>1455</v>
      </c>
      <c r="R259" t="str" cm="1">
        <f t="array" ref="R259">_xlfn.SWITCH(S259,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0" spans="1:18">
      <c r="A260" t="s">
        <v>1496</v>
      </c>
      <c r="B260">
        <v>4</v>
      </c>
      <c r="C260" s="2">
        <f>Wet_Wipes[[#This Row],[Желано количество]]</f>
        <v>4</v>
      </c>
      <c r="D260" s="28">
        <v>45838</v>
      </c>
      <c r="E260" t="s">
        <v>1285</v>
      </c>
      <c r="F260" s="30">
        <v>45817.82539351852</v>
      </c>
      <c r="G260" s="20" t="s">
        <v>1454</v>
      </c>
      <c r="H260" t="s">
        <v>22</v>
      </c>
      <c r="I260" t="s">
        <v>24</v>
      </c>
      <c r="J260" s="28"/>
      <c r="L260" s="28">
        <v>45876</v>
      </c>
      <c r="M260">
        <v>4</v>
      </c>
      <c r="N260">
        <v>61.78</v>
      </c>
      <c r="O260" s="2">
        <f>Wet_Wipes[[#This Row],[Цена за 1 бр. в BGN]]*Wet_Wipes[[#This Row],[Поръчано Количество]]</f>
        <v>247.12</v>
      </c>
      <c r="R260" t="str" cm="1">
        <f t="array" ref="R260">_xlfn.SWITCH(S260,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1" spans="1:18">
      <c r="A261" t="s">
        <v>1497</v>
      </c>
      <c r="B261">
        <v>2</v>
      </c>
      <c r="C261" s="2">
        <f>Wet_Wipes[[#This Row],[Желано количество]]</f>
        <v>2</v>
      </c>
      <c r="D261" s="28">
        <v>45838</v>
      </c>
      <c r="E261" t="s">
        <v>1208</v>
      </c>
      <c r="F261" s="30">
        <v>45817.825914351852</v>
      </c>
      <c r="G261" s="20" t="s">
        <v>1454</v>
      </c>
      <c r="H261" t="s">
        <v>22</v>
      </c>
      <c r="I261" t="s">
        <v>24</v>
      </c>
      <c r="J261" s="28"/>
      <c r="L261" s="28">
        <v>45876</v>
      </c>
      <c r="M261">
        <v>2</v>
      </c>
      <c r="N261">
        <v>149.32</v>
      </c>
      <c r="O261" s="2">
        <f>Wet_Wipes[[#This Row],[Цена за 1 бр. в BGN]]*Wet_Wipes[[#This Row],[Поръчано Количество]]</f>
        <v>298.64</v>
      </c>
      <c r="R261" t="str" cm="1">
        <f t="array" ref="R261">_xlfn.SWITCH(S261,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2" spans="1:18">
      <c r="A262" t="s">
        <v>1498</v>
      </c>
      <c r="B262">
        <v>2</v>
      </c>
      <c r="C262" s="2">
        <f>Wet_Wipes[[#This Row],[Желано количество]]</f>
        <v>2</v>
      </c>
      <c r="D262" s="28">
        <v>45869</v>
      </c>
      <c r="E262" t="s">
        <v>1285</v>
      </c>
      <c r="F262" s="30">
        <v>45817.826423611114</v>
      </c>
      <c r="G262" s="20" t="s">
        <v>1454</v>
      </c>
      <c r="H262" t="s">
        <v>22</v>
      </c>
      <c r="I262" t="s">
        <v>24</v>
      </c>
      <c r="J262" s="28"/>
      <c r="L262" s="28">
        <v>45876</v>
      </c>
      <c r="M262">
        <v>1</v>
      </c>
      <c r="N262">
        <v>176.23</v>
      </c>
      <c r="O262" s="2">
        <f>Wet_Wipes[[#This Row],[Цена за 1 бр. в BGN]]*Wet_Wipes[[#This Row],[Поръчано Количество]]</f>
        <v>352.46</v>
      </c>
      <c r="R262" t="str" cm="1">
        <f t="array" ref="R262">_xlfn.SWITCH(S262,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3" spans="1:18">
      <c r="A263" t="s">
        <v>1499</v>
      </c>
      <c r="B263">
        <v>1</v>
      </c>
      <c r="C263" s="2">
        <f>Wet_Wipes[[#This Row],[Желано количество]]</f>
        <v>1</v>
      </c>
      <c r="D263" s="28">
        <v>45838</v>
      </c>
      <c r="E263" t="s">
        <v>63</v>
      </c>
      <c r="F263" s="30">
        <v>45825.315694444442</v>
      </c>
      <c r="G263" s="38"/>
      <c r="H263" t="s">
        <v>22</v>
      </c>
      <c r="I263" t="s">
        <v>75</v>
      </c>
      <c r="J263" s="28"/>
      <c r="L263" s="28"/>
      <c r="O263" s="2">
        <f>Wet_Wipes[[#This Row],[Цена за 1 бр. в BGN]]*Wet_Wipes[[#This Row],[Поръчано Количество]]</f>
        <v>0</v>
      </c>
      <c r="R263" t="str" cm="1">
        <f t="array" ref="R263">_xlfn.SWITCH(S263,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4" spans="1:18">
      <c r="A264" t="s">
        <v>1500</v>
      </c>
      <c r="B264">
        <v>1</v>
      </c>
      <c r="C264" s="2">
        <f>Wet_Wipes[[#This Row],[Желано количество]]</f>
        <v>1</v>
      </c>
      <c r="D264" s="28">
        <v>45869</v>
      </c>
      <c r="E264" t="s">
        <v>1208</v>
      </c>
      <c r="F264" s="30">
        <v>45825.32167824074</v>
      </c>
      <c r="G264" s="20"/>
      <c r="J264" s="28"/>
      <c r="L264" s="28"/>
      <c r="O264" s="2">
        <f>Wet_Wipes[[#This Row],[Цена за 1 бр. в BGN]]*Wet_Wipes[[#This Row],[Поръчано Количество]]</f>
        <v>0</v>
      </c>
      <c r="R264" t="str" cm="1">
        <f t="array" ref="R264">_xlfn.SWITCH(S264,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5" spans="1:18">
      <c r="A265" t="s">
        <v>1501</v>
      </c>
      <c r="B265">
        <v>2</v>
      </c>
      <c r="C265" s="2">
        <f>Wet_Wipes[[#This Row],[Желано количество]]</f>
        <v>2</v>
      </c>
      <c r="D265" s="28">
        <v>45838</v>
      </c>
      <c r="E265" t="s">
        <v>1208</v>
      </c>
      <c r="F265" s="30">
        <v>45825.32508101852</v>
      </c>
      <c r="G265" s="20"/>
      <c r="I265" t="s">
        <v>137</v>
      </c>
      <c r="J265" s="28"/>
      <c r="L265" s="28"/>
      <c r="O265" s="2">
        <f>Wet_Wipes[[#This Row],[Цена за 1 бр. в BGN]]*Wet_Wipes[[#This Row],[Поръчано Количество]]</f>
        <v>0</v>
      </c>
      <c r="R265" t="str" cm="1">
        <f t="array" ref="R265">_xlfn.SWITCH(S265,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6" spans="1:18" ht="15.75">
      <c r="A266" t="s">
        <v>1502</v>
      </c>
      <c r="B266">
        <v>2</v>
      </c>
      <c r="C266" s="2">
        <f>Wet_Wipes[[#This Row],[Желано количество]]</f>
        <v>2</v>
      </c>
      <c r="D266" s="28">
        <v>45825</v>
      </c>
      <c r="E266" t="s">
        <v>63</v>
      </c>
      <c r="F266" s="30">
        <v>45826.459675925929</v>
      </c>
      <c r="G266" s="61">
        <v>187101</v>
      </c>
      <c r="H266" t="s">
        <v>22</v>
      </c>
      <c r="I266" t="s">
        <v>58</v>
      </c>
      <c r="J266" s="28">
        <v>45903</v>
      </c>
      <c r="L266" s="28">
        <v>45903</v>
      </c>
      <c r="M266">
        <f>Wet_Wipes[[#This Row],[Поръчано Количество]]</f>
        <v>2</v>
      </c>
      <c r="O266" s="2">
        <f>Wet_Wipes[[#This Row],[Цена за 1 бр. в BGN]]*Wet_Wipes[[#This Row],[Поръчано Количество]]</f>
        <v>0</v>
      </c>
      <c r="R266" t="str" cm="1">
        <f t="array" ref="R266">_xlfn.SWITCH(S266,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7" spans="1:18" ht="15.75">
      <c r="A267" t="s">
        <v>1503</v>
      </c>
      <c r="B267">
        <v>2</v>
      </c>
      <c r="C267" s="2">
        <f>Wet_Wipes[[#This Row],[Желано количество]]</f>
        <v>2</v>
      </c>
      <c r="D267" s="28">
        <v>45825</v>
      </c>
      <c r="E267" t="s">
        <v>63</v>
      </c>
      <c r="F267" s="30">
        <v>45826.459872685184</v>
      </c>
      <c r="G267" s="61">
        <v>187101</v>
      </c>
      <c r="H267" t="s">
        <v>22</v>
      </c>
      <c r="I267" t="s">
        <v>58</v>
      </c>
      <c r="J267" s="28">
        <v>45903</v>
      </c>
      <c r="L267" s="28">
        <v>45903</v>
      </c>
      <c r="M267">
        <f>Wet_Wipes[[#This Row],[Поръчано Количество]]</f>
        <v>2</v>
      </c>
      <c r="O267" s="2">
        <f>Wet_Wipes[[#This Row],[Цена за 1 бр. в BGN]]*Wet_Wipes[[#This Row],[Поръчано Количество]]</f>
        <v>0</v>
      </c>
      <c r="R267" t="str" cm="1">
        <f t="array" ref="R267">_xlfn.SWITCH(S267,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8" spans="1:18" ht="15.75">
      <c r="A268" t="s">
        <v>1504</v>
      </c>
      <c r="B268">
        <v>2</v>
      </c>
      <c r="C268" s="2">
        <f>Wet_Wipes[[#This Row],[Желано количество]]</f>
        <v>2</v>
      </c>
      <c r="D268" s="28">
        <v>45825</v>
      </c>
      <c r="E268" t="s">
        <v>63</v>
      </c>
      <c r="F268" s="30">
        <v>45826.460069444445</v>
      </c>
      <c r="G268" s="61">
        <v>187101</v>
      </c>
      <c r="H268" t="s">
        <v>22</v>
      </c>
      <c r="I268" t="s">
        <v>58</v>
      </c>
      <c r="J268" s="28">
        <v>45903</v>
      </c>
      <c r="L268" s="28">
        <v>45903</v>
      </c>
      <c r="M268">
        <f>Wet_Wipes[[#This Row],[Поръчано Количество]]</f>
        <v>2</v>
      </c>
      <c r="O268" s="2">
        <f>Wet_Wipes[[#This Row],[Цена за 1 бр. в BGN]]*Wet_Wipes[[#This Row],[Поръчано Количество]]</f>
        <v>0</v>
      </c>
      <c r="R268" t="str" cm="1">
        <f t="array" ref="R268">_xlfn.SWITCH(S268,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69" spans="1:18">
      <c r="A269" t="s">
        <v>1505</v>
      </c>
      <c r="B269">
        <v>8</v>
      </c>
      <c r="C269" s="2">
        <f>Wet_Wipes[[#This Row],[Желано количество]]</f>
        <v>8</v>
      </c>
      <c r="D269" s="28">
        <v>45836</v>
      </c>
      <c r="E269" t="s">
        <v>1192</v>
      </c>
      <c r="F269" s="30">
        <v>45831.477986111109</v>
      </c>
      <c r="G269" s="20" t="s">
        <v>1506</v>
      </c>
      <c r="H269" t="s">
        <v>22</v>
      </c>
      <c r="I269" t="s">
        <v>114</v>
      </c>
      <c r="J269" s="28"/>
      <c r="L269" s="28"/>
      <c r="O269" s="2">
        <f>Wet_Wipes[[#This Row],[Цена за 1 бр. в BGN]]*Wet_Wipes[[#This Row],[Поръчано Количество]]</f>
        <v>0</v>
      </c>
      <c r="R269" t="str" cm="1">
        <f t="array" ref="R269">_xlfn.SWITCH(S269,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0" spans="1:18">
      <c r="A270" t="s">
        <v>1507</v>
      </c>
      <c r="B270">
        <v>2</v>
      </c>
      <c r="C270" s="2">
        <v>3</v>
      </c>
      <c r="D270" s="28">
        <v>45841</v>
      </c>
      <c r="E270" t="s">
        <v>1212</v>
      </c>
      <c r="F270" s="30">
        <v>45834.425625000003</v>
      </c>
      <c r="G270" s="20"/>
      <c r="H270" t="s">
        <v>22</v>
      </c>
      <c r="I270" t="s">
        <v>232</v>
      </c>
      <c r="J270" s="28"/>
      <c r="L270" s="28">
        <v>45838</v>
      </c>
      <c r="M270">
        <v>3</v>
      </c>
      <c r="N270">
        <v>8.99</v>
      </c>
      <c r="O270" s="2">
        <f>Wet_Wipes[[#This Row],[Цена за 1 бр. в BGN]]*Wet_Wipes[[#This Row],[Поръчано Количество]]</f>
        <v>26.97</v>
      </c>
      <c r="R270" t="str" cm="1">
        <f t="array" ref="R270">_xlfn.SWITCH(S270,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1" spans="1:18" ht="15.75">
      <c r="A271" t="s">
        <v>291</v>
      </c>
      <c r="B271">
        <v>1</v>
      </c>
      <c r="C271" s="2">
        <f>Wet_Wipes[[#This Row],[Желано количество]]</f>
        <v>1</v>
      </c>
      <c r="D271" s="28">
        <v>45857</v>
      </c>
      <c r="E271" t="s">
        <v>1212</v>
      </c>
      <c r="F271" s="30">
        <v>45841.188391203701</v>
      </c>
      <c r="G271" s="61">
        <v>187101</v>
      </c>
      <c r="H271" t="s">
        <v>22</v>
      </c>
      <c r="I271" t="s">
        <v>58</v>
      </c>
      <c r="J271" s="28">
        <v>45903</v>
      </c>
      <c r="L271" s="28">
        <v>45903</v>
      </c>
      <c r="M271">
        <f>Wet_Wipes[[#This Row],[Поръчано Количество]]</f>
        <v>1</v>
      </c>
      <c r="N271">
        <v>7.38</v>
      </c>
      <c r="O271" s="2">
        <f>Wet_Wipes[[#This Row],[Цена за 1 бр. в BGN]]*Wet_Wipes[[#This Row],[Поръчано Количество]]</f>
        <v>7.38</v>
      </c>
      <c r="R271" t="str" cm="1">
        <f t="array" ref="R271">_xlfn.SWITCH(S271,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2" spans="1:18">
      <c r="A272" t="s">
        <v>1508</v>
      </c>
      <c r="B272">
        <v>100</v>
      </c>
      <c r="C272" s="2">
        <v>40</v>
      </c>
      <c r="D272" s="28">
        <v>45855</v>
      </c>
      <c r="E272" t="s">
        <v>1208</v>
      </c>
      <c r="F272" s="30">
        <v>45841.225254629629</v>
      </c>
      <c r="G272" s="20" t="s">
        <v>1509</v>
      </c>
      <c r="H272" t="s">
        <v>22</v>
      </c>
      <c r="I272" t="s">
        <v>230</v>
      </c>
      <c r="J272" s="28"/>
      <c r="L272" s="28"/>
      <c r="O272" s="2">
        <f>Wet_Wipes[[#This Row],[Цена за 1 бр. в BGN]]*Wet_Wipes[[#This Row],[Поръчано Количество]]</f>
        <v>0</v>
      </c>
      <c r="R272" t="str" cm="1">
        <f t="array" ref="R272">_xlfn.SWITCH(S272,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3" spans="1:18">
      <c r="A273" t="s">
        <v>1510</v>
      </c>
      <c r="B273">
        <v>100</v>
      </c>
      <c r="C273" s="2">
        <f>Wet_Wipes[[#This Row],[Желано количество]]</f>
        <v>100</v>
      </c>
      <c r="D273" s="28">
        <v>45855</v>
      </c>
      <c r="E273" t="s">
        <v>1208</v>
      </c>
      <c r="F273" s="30">
        <v>45841.228402777779</v>
      </c>
      <c r="G273" s="20" t="s">
        <v>1509</v>
      </c>
      <c r="H273" t="s">
        <v>22</v>
      </c>
      <c r="I273" t="s">
        <v>69</v>
      </c>
      <c r="J273" s="28"/>
      <c r="L273" s="28"/>
      <c r="O273" s="2">
        <f>Wet_Wipes[[#This Row],[Цена за 1 бр. в BGN]]*Wet_Wipes[[#This Row],[Поръчано Количество]]</f>
        <v>0</v>
      </c>
      <c r="R273" t="str" cm="1">
        <f t="array" ref="R273">_xlfn.SWITCH(S273,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4" spans="1:18" ht="15.75">
      <c r="A274" t="s">
        <v>1511</v>
      </c>
      <c r="B274">
        <v>10</v>
      </c>
      <c r="C274" s="2">
        <f>Wet_Wipes[[#This Row],[Желано количество]]</f>
        <v>10</v>
      </c>
      <c r="D274" s="28">
        <v>45855</v>
      </c>
      <c r="E274" t="s">
        <v>63</v>
      </c>
      <c r="F274" s="30">
        <v>45846.532268518517</v>
      </c>
      <c r="G274" s="61">
        <v>187101</v>
      </c>
      <c r="H274" t="s">
        <v>22</v>
      </c>
      <c r="I274" t="s">
        <v>58</v>
      </c>
      <c r="J274" s="28">
        <v>45903</v>
      </c>
      <c r="L274" s="28">
        <v>45903</v>
      </c>
      <c r="M274">
        <f>Wet_Wipes[[#This Row],[Поръчано Количество]]</f>
        <v>10</v>
      </c>
      <c r="O274" s="2">
        <f>Wet_Wipes[[#This Row],[Цена за 1 бр. в BGN]]*Wet_Wipes[[#This Row],[Поръчано Количество]]</f>
        <v>0</v>
      </c>
      <c r="R274" t="str" cm="1">
        <f t="array" ref="R274">_xlfn.SWITCH(S274,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5" spans="1:18">
      <c r="A275" t="s">
        <v>1512</v>
      </c>
      <c r="B275">
        <v>2</v>
      </c>
      <c r="C275" s="2">
        <f>Wet_Wipes[[#This Row],[Желано количество]]</f>
        <v>2</v>
      </c>
      <c r="D275" s="28">
        <v>45869</v>
      </c>
      <c r="E275" t="s">
        <v>1212</v>
      </c>
      <c r="F275" s="30">
        <v>45846.534016203703</v>
      </c>
      <c r="G275" s="20"/>
      <c r="J275" s="28"/>
      <c r="L275" s="28"/>
      <c r="O275" s="2">
        <f>Wet_Wipes[[#This Row],[Цена за 1 бр. в BGN]]*Wet_Wipes[[#This Row],[Поръчано Количество]]</f>
        <v>0</v>
      </c>
      <c r="R275" t="str" cm="1">
        <f t="array" ref="R275">_xlfn.SWITCH(S275,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6" spans="1:18">
      <c r="A276" t="s">
        <v>1513</v>
      </c>
      <c r="B276">
        <v>10</v>
      </c>
      <c r="C276" s="2">
        <f>Wet_Wipes[[#This Row],[Желано количество]]</f>
        <v>10</v>
      </c>
      <c r="D276" s="28">
        <v>45869</v>
      </c>
      <c r="E276" t="s">
        <v>1208</v>
      </c>
      <c r="F276" s="30">
        <v>45847.68005787037</v>
      </c>
      <c r="G276" s="20"/>
      <c r="I276" t="s">
        <v>883</v>
      </c>
      <c r="J276" s="28"/>
      <c r="L276" s="28"/>
      <c r="O276" s="2">
        <f>Wet_Wipes[[#This Row],[Цена за 1 бр. в BGN]]*Wet_Wipes[[#This Row],[Поръчано Количество]]</f>
        <v>0</v>
      </c>
      <c r="R276" t="str" cm="1">
        <f t="array" ref="R276">_xlfn.SWITCH(S276,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7" spans="1:18" ht="15.75">
      <c r="A277" t="s">
        <v>1514</v>
      </c>
      <c r="B277">
        <v>5</v>
      </c>
      <c r="C277" s="2">
        <f>Wet_Wipes[[#This Row],[Желано количество]]</f>
        <v>5</v>
      </c>
      <c r="D277" s="28">
        <v>45869</v>
      </c>
      <c r="E277" t="s">
        <v>63</v>
      </c>
      <c r="F277" s="30">
        <v>45853.257361111115</v>
      </c>
      <c r="G277" s="61">
        <v>187101</v>
      </c>
      <c r="H277" t="s">
        <v>22</v>
      </c>
      <c r="I277" t="s">
        <v>58</v>
      </c>
      <c r="J277" s="28">
        <v>45903</v>
      </c>
      <c r="L277" s="28">
        <v>45903</v>
      </c>
      <c r="M277">
        <f>Wet_Wipes[[#This Row],[Поръчано Количество]]</f>
        <v>5</v>
      </c>
      <c r="O277" s="2">
        <f>Wet_Wipes[[#This Row],[Цена за 1 бр. в BGN]]*Wet_Wipes[[#This Row],[Поръчано Количество]]</f>
        <v>0</v>
      </c>
      <c r="R277" t="str" cm="1">
        <f t="array" ref="R277">_xlfn.SWITCH(S277,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8" spans="1:18" ht="15.75">
      <c r="A278" t="s">
        <v>1515</v>
      </c>
      <c r="B278">
        <v>5</v>
      </c>
      <c r="C278" s="2">
        <f>Wet_Wipes[[#This Row],[Желано количество]]</f>
        <v>5</v>
      </c>
      <c r="D278" s="28">
        <v>45869</v>
      </c>
      <c r="E278" t="s">
        <v>63</v>
      </c>
      <c r="F278" s="30">
        <v>45853.2578587963</v>
      </c>
      <c r="G278" s="61">
        <v>187101</v>
      </c>
      <c r="H278" t="s">
        <v>22</v>
      </c>
      <c r="I278" t="s">
        <v>58</v>
      </c>
      <c r="J278" s="28">
        <v>45903</v>
      </c>
      <c r="L278" s="28">
        <v>45903</v>
      </c>
      <c r="M278">
        <f>Wet_Wipes[[#This Row],[Поръчано Количество]]</f>
        <v>5</v>
      </c>
      <c r="O278" s="2">
        <f>Wet_Wipes[[#This Row],[Цена за 1 бр. в BGN]]*Wet_Wipes[[#This Row],[Поръчано Количество]]</f>
        <v>0</v>
      </c>
      <c r="R278" t="str" cm="1">
        <f t="array" ref="R278">_xlfn.SWITCH(S278,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79" spans="1:18" ht="15.75">
      <c r="A279" t="s">
        <v>1516</v>
      </c>
      <c r="B279">
        <v>5</v>
      </c>
      <c r="C279" s="2">
        <f>Wet_Wipes[[#This Row],[Желано количество]]</f>
        <v>5</v>
      </c>
      <c r="D279" s="28">
        <v>45869</v>
      </c>
      <c r="E279" t="s">
        <v>63</v>
      </c>
      <c r="F279" s="30">
        <v>45853.258217592593</v>
      </c>
      <c r="G279" s="61">
        <v>187101</v>
      </c>
      <c r="H279" t="s">
        <v>22</v>
      </c>
      <c r="I279" t="s">
        <v>58</v>
      </c>
      <c r="J279" s="28">
        <v>45903</v>
      </c>
      <c r="L279" s="28">
        <v>45903</v>
      </c>
      <c r="M279">
        <f>Wet_Wipes[[#This Row],[Поръчано Количество]]</f>
        <v>5</v>
      </c>
      <c r="O279" s="2">
        <f>Wet_Wipes[[#This Row],[Цена за 1 бр. в BGN]]*Wet_Wipes[[#This Row],[Поръчано Количество]]</f>
        <v>0</v>
      </c>
      <c r="R279" t="str" cm="1">
        <f t="array" ref="R279">_xlfn.SWITCH(S279,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80" spans="1:18" ht="15.75">
      <c r="A280" t="s">
        <v>1517</v>
      </c>
      <c r="B280">
        <v>5</v>
      </c>
      <c r="C280" s="2">
        <f>Wet_Wipes[[#This Row],[Желано количество]]</f>
        <v>5</v>
      </c>
      <c r="D280" s="28">
        <v>45869</v>
      </c>
      <c r="E280" t="s">
        <v>63</v>
      </c>
      <c r="F280" s="30">
        <v>45853.25849537037</v>
      </c>
      <c r="G280" s="61">
        <v>187101</v>
      </c>
      <c r="H280" t="s">
        <v>22</v>
      </c>
      <c r="I280" t="s">
        <v>58</v>
      </c>
      <c r="J280" s="28">
        <v>45903</v>
      </c>
      <c r="L280" s="28">
        <v>45903</v>
      </c>
      <c r="M280">
        <f>Wet_Wipes[[#This Row],[Поръчано Количество]]</f>
        <v>5</v>
      </c>
      <c r="O280" s="2">
        <f>Wet_Wipes[[#This Row],[Цена за 1 бр. в BGN]]*Wet_Wipes[[#This Row],[Поръчано Количество]]</f>
        <v>0</v>
      </c>
      <c r="R280" t="str" cm="1">
        <f t="array" ref="R280">_xlfn.SWITCH(S280,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81" spans="1:18">
      <c r="A281" t="s">
        <v>1518</v>
      </c>
      <c r="B281">
        <v>2</v>
      </c>
      <c r="C281" s="2">
        <f>Wet_Wipes[[#This Row],[Желано количество]]</f>
        <v>2</v>
      </c>
      <c r="D281" s="28">
        <v>45869</v>
      </c>
      <c r="E281" t="s">
        <v>1208</v>
      </c>
      <c r="F281" s="30">
        <v>45853.455127314817</v>
      </c>
      <c r="G281" s="20"/>
      <c r="I281" t="s">
        <v>1519</v>
      </c>
      <c r="J281" s="28"/>
      <c r="L281" s="28"/>
      <c r="O281" s="2">
        <f>Wet_Wipes[[#This Row],[Цена за 1 бр. в BGN]]*Wet_Wipes[[#This Row],[Поръчано Количество]]</f>
        <v>0</v>
      </c>
      <c r="R281" t="str" cm="1">
        <f t="array" ref="R281">_xlfn.SWITCH(S281,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82" spans="1:18">
      <c r="A282" t="s">
        <v>1520</v>
      </c>
      <c r="B282">
        <v>1</v>
      </c>
      <c r="C282" s="2">
        <f>Wet_Wipes[[#This Row],[Желано количество]]</f>
        <v>1</v>
      </c>
      <c r="D282" s="28">
        <v>45869</v>
      </c>
      <c r="E282" t="s">
        <v>1212</v>
      </c>
      <c r="F282" s="30">
        <v>45853.459432870368</v>
      </c>
      <c r="G282" s="20"/>
      <c r="I282" t="s">
        <v>1521</v>
      </c>
      <c r="J282" s="28"/>
      <c r="L282" s="28"/>
      <c r="O282" s="2">
        <f>Wet_Wipes[[#This Row],[Цена за 1 бр. в BGN]]*Wet_Wipes[[#This Row],[Поръчано Количество]]</f>
        <v>0</v>
      </c>
      <c r="R282" t="str" cm="1">
        <f t="array" ref="R282">_xlfn.SWITCH(S282,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83" spans="1:18">
      <c r="A283" t="s">
        <v>1522</v>
      </c>
      <c r="B283">
        <v>1</v>
      </c>
      <c r="C283" s="2">
        <f>Wet_Wipes[[#This Row],[Желано количество]]</f>
        <v>1</v>
      </c>
      <c r="D283" s="28">
        <v>45869</v>
      </c>
      <c r="E283" t="s">
        <v>1212</v>
      </c>
      <c r="F283" s="30">
        <v>45853.459814814814</v>
      </c>
      <c r="G283" s="20"/>
      <c r="I283" t="s">
        <v>1521</v>
      </c>
      <c r="J283" s="28"/>
      <c r="L283" s="28"/>
      <c r="O283" s="2">
        <f>Wet_Wipes[[#This Row],[Цена за 1 бр. в BGN]]*Wet_Wipes[[#This Row],[Поръчано Количество]]</f>
        <v>0</v>
      </c>
      <c r="R283" t="str" cm="1">
        <f t="array" ref="R283">_xlfn.SWITCH(S283,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84" spans="1:18">
      <c r="A284" t="s">
        <v>1523</v>
      </c>
      <c r="B284">
        <v>20</v>
      </c>
      <c r="C284" s="2">
        <v>25</v>
      </c>
      <c r="D284" s="28">
        <v>45869</v>
      </c>
      <c r="E284" t="s">
        <v>1212</v>
      </c>
      <c r="F284" s="30">
        <v>45853.460347222222</v>
      </c>
      <c r="G284" s="38">
        <v>197470</v>
      </c>
      <c r="H284" t="s">
        <v>22</v>
      </c>
      <c r="I284" t="s">
        <v>58</v>
      </c>
      <c r="J284" s="28">
        <v>45972</v>
      </c>
      <c r="L284" s="28">
        <v>45972</v>
      </c>
      <c r="O284" s="2">
        <f>Wet_Wipes[[#This Row],[Цена за 1 бр. в BGN]]*Wet_Wipes[[#This Row],[Поръчано Количество]]</f>
        <v>0</v>
      </c>
      <c r="R284" t="str" cm="1">
        <f t="array" ref="R284">_xlfn.SWITCH(S284,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85" spans="1:18" ht="15.75">
      <c r="A285" t="s">
        <v>1524</v>
      </c>
      <c r="B285">
        <v>2</v>
      </c>
      <c r="C285" s="2">
        <f>Wet_Wipes[[#This Row],[Желано количество]]</f>
        <v>2</v>
      </c>
      <c r="D285" s="28">
        <v>45869</v>
      </c>
      <c r="E285" t="s">
        <v>1212</v>
      </c>
      <c r="F285" s="30">
        <v>45853.461863425924</v>
      </c>
      <c r="G285" s="61">
        <v>187101</v>
      </c>
      <c r="H285" t="s">
        <v>22</v>
      </c>
      <c r="I285" t="s">
        <v>58</v>
      </c>
      <c r="J285" s="28">
        <v>45903</v>
      </c>
      <c r="L285" s="28">
        <v>45903</v>
      </c>
      <c r="M285">
        <f>Wet_Wipes[[#This Row],[Поръчано Количество]]</f>
        <v>2</v>
      </c>
      <c r="O285" s="2">
        <f>Wet_Wipes[[#This Row],[Цена за 1 бр. в BGN]]*Wet_Wipes[[#This Row],[Поръчано Количество]]</f>
        <v>0</v>
      </c>
      <c r="R285" t="str" cm="1">
        <f t="array" ref="R285">_xlfn.SWITCH(S285,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86" spans="1:18" ht="15.75">
      <c r="A286" t="s">
        <v>1525</v>
      </c>
      <c r="B286">
        <v>5</v>
      </c>
      <c r="C286" s="2">
        <f>Wet_Wipes[[#This Row],[Желано количество]]</f>
        <v>5</v>
      </c>
      <c r="D286" s="28">
        <v>45869</v>
      </c>
      <c r="E286" t="s">
        <v>1212</v>
      </c>
      <c r="F286" s="30">
        <v>45853.46230324074</v>
      </c>
      <c r="G286" s="61">
        <v>187101</v>
      </c>
      <c r="H286" t="s">
        <v>22</v>
      </c>
      <c r="I286" t="s">
        <v>58</v>
      </c>
      <c r="J286" s="28">
        <v>45903</v>
      </c>
      <c r="L286" s="28">
        <v>45903</v>
      </c>
      <c r="M286">
        <f>Wet_Wipes[[#This Row],[Поръчано Количество]]</f>
        <v>5</v>
      </c>
      <c r="O286" s="2">
        <f>Wet_Wipes[[#This Row],[Цена за 1 бр. в BGN]]*Wet_Wipes[[#This Row],[Поръчано Количество]]</f>
        <v>0</v>
      </c>
      <c r="R286" t="str" cm="1">
        <f t="array" ref="R286">_xlfn.SWITCH(S286,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87" spans="1:18" ht="15.75">
      <c r="A287" t="s">
        <v>1526</v>
      </c>
      <c r="B287">
        <v>5</v>
      </c>
      <c r="C287" s="2">
        <f>Wet_Wipes[[#This Row],[Желано количество]]</f>
        <v>5</v>
      </c>
      <c r="D287" s="28">
        <v>45869</v>
      </c>
      <c r="E287" t="s">
        <v>1212</v>
      </c>
      <c r="F287" s="30">
        <v>45853.464236111111</v>
      </c>
      <c r="G287" s="61">
        <v>187101</v>
      </c>
      <c r="H287" t="s">
        <v>22</v>
      </c>
      <c r="I287" t="s">
        <v>58</v>
      </c>
      <c r="J287" s="28">
        <v>45903</v>
      </c>
      <c r="L287" s="28">
        <v>45903</v>
      </c>
      <c r="M287">
        <f>Wet_Wipes[[#This Row],[Поръчано Количество]]</f>
        <v>5</v>
      </c>
      <c r="O287" s="2">
        <f>Wet_Wipes[[#This Row],[Цена за 1 бр. в BGN]]*Wet_Wipes[[#This Row],[Поръчано Количество]]</f>
        <v>0</v>
      </c>
      <c r="R287" t="str" cm="1">
        <f t="array" ref="R287">_xlfn.SWITCH(S287,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88" spans="1:18">
      <c r="A288" t="s">
        <v>1527</v>
      </c>
      <c r="B288">
        <v>2</v>
      </c>
      <c r="C288" s="2">
        <f>Wet_Wipes[[#This Row],[Желано количество]]</f>
        <v>2</v>
      </c>
      <c r="D288" s="28">
        <v>45900</v>
      </c>
      <c r="E288" t="s">
        <v>1208</v>
      </c>
      <c r="F288" s="30">
        <v>45856.311979166669</v>
      </c>
      <c r="G288" s="20"/>
      <c r="I288" t="s">
        <v>1528</v>
      </c>
      <c r="J288" s="28"/>
      <c r="L288" s="28"/>
      <c r="O288" s="2">
        <f>Wet_Wipes[[#This Row],[Цена за 1 бр. в BGN]]*Wet_Wipes[[#This Row],[Поръчано Количество]]</f>
        <v>0</v>
      </c>
      <c r="R288" t="str" cm="1">
        <f t="array" ref="R288">_xlfn.SWITCH(S288,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89" spans="1:18">
      <c r="A289" t="s">
        <v>1529</v>
      </c>
      <c r="B289">
        <v>1</v>
      </c>
      <c r="C289" s="2">
        <f>Wet_Wipes[[#This Row],[Желано количество]]</f>
        <v>1</v>
      </c>
      <c r="D289" s="28">
        <v>45864</v>
      </c>
      <c r="E289" t="s">
        <v>1208</v>
      </c>
      <c r="F289" s="30">
        <v>45857.38658564815</v>
      </c>
      <c r="G289" s="20" t="s">
        <v>1472</v>
      </c>
      <c r="H289" t="s">
        <v>22</v>
      </c>
      <c r="I289" t="s">
        <v>46</v>
      </c>
      <c r="J289" s="28">
        <v>45989</v>
      </c>
      <c r="L289" s="28"/>
      <c r="N289">
        <v>352</v>
      </c>
      <c r="O289" s="2">
        <f>Wet_Wipes[[#This Row],[Цена за 1 бр. в BGN]]*Wet_Wipes[[#This Row],[Поръчано Количество]]</f>
        <v>352</v>
      </c>
      <c r="R289" t="str" cm="1">
        <f t="array" ref="R289">_xlfn.SWITCH(S289,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90" spans="1:18">
      <c r="A290" t="s">
        <v>1530</v>
      </c>
      <c r="B290">
        <v>1</v>
      </c>
      <c r="C290" s="2">
        <f>Wet_Wipes[[#This Row],[Желано количество]]</f>
        <v>1</v>
      </c>
      <c r="D290" s="28">
        <v>45864</v>
      </c>
      <c r="E290" t="s">
        <v>1208</v>
      </c>
      <c r="F290" s="30">
        <v>45857.389155092591</v>
      </c>
      <c r="G290" s="20" t="s">
        <v>1472</v>
      </c>
      <c r="H290" t="s">
        <v>22</v>
      </c>
      <c r="I290" t="s">
        <v>46</v>
      </c>
      <c r="J290" s="28">
        <v>45989</v>
      </c>
      <c r="L290" s="28"/>
      <c r="N290">
        <v>399</v>
      </c>
      <c r="O290" s="2">
        <f>Wet_Wipes[[#This Row],[Цена за 1 бр. в BGN]]*Wet_Wipes[[#This Row],[Поръчано Количество]]</f>
        <v>399</v>
      </c>
      <c r="R290" t="str" cm="1">
        <f t="array" ref="R290">_xlfn.SWITCH(S290,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91" spans="1:18">
      <c r="A291" t="s">
        <v>1531</v>
      </c>
      <c r="B291">
        <v>1</v>
      </c>
      <c r="C291" s="2">
        <f>Wet_Wipes[[#This Row],[Желано количество]]</f>
        <v>1</v>
      </c>
      <c r="D291" s="28">
        <v>45869</v>
      </c>
      <c r="E291" t="s">
        <v>1182</v>
      </c>
      <c r="F291" s="30">
        <v>45861.347407407404</v>
      </c>
      <c r="G291" s="20"/>
      <c r="I291" t="s">
        <v>1325</v>
      </c>
      <c r="J291" s="28"/>
      <c r="L291" s="28"/>
      <c r="O291" s="2">
        <f>Wet_Wipes[[#This Row],[Цена за 1 бр. в BGN]]*Wet_Wipes[[#This Row],[Поръчано Количество]]</f>
        <v>0</v>
      </c>
      <c r="R291" t="str" cm="1">
        <f t="array" ref="R291">_xlfn.SWITCH(S291,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92" spans="1:18">
      <c r="A292" t="s">
        <v>1532</v>
      </c>
      <c r="B292">
        <v>1</v>
      </c>
      <c r="C292" s="2">
        <f>Wet_Wipes[[#This Row],[Желано количество]]</f>
        <v>1</v>
      </c>
      <c r="D292" s="28">
        <v>45869</v>
      </c>
      <c r="E292" t="s">
        <v>1182</v>
      </c>
      <c r="F292" s="30">
        <v>45861.348576388889</v>
      </c>
      <c r="G292" s="20"/>
      <c r="I292" t="s">
        <v>1325</v>
      </c>
      <c r="J292" s="28"/>
      <c r="L292" s="28"/>
      <c r="O292" s="2">
        <f>Wet_Wipes[[#This Row],[Цена за 1 бр. в BGN]]*Wet_Wipes[[#This Row],[Поръчано Количество]]</f>
        <v>0</v>
      </c>
      <c r="R292" t="str" cm="1">
        <f t="array" ref="R292">_xlfn.SWITCH(S292,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93" spans="1:18">
      <c r="A293" t="s">
        <v>1533</v>
      </c>
      <c r="B293">
        <v>9</v>
      </c>
      <c r="C293" s="2">
        <f>Wet_Wipes[[#This Row],[Желано количество]]</f>
        <v>9</v>
      </c>
      <c r="D293" s="28">
        <v>45869</v>
      </c>
      <c r="E293" t="s">
        <v>1182</v>
      </c>
      <c r="F293" s="30">
        <v>45861.364479166667</v>
      </c>
      <c r="G293" s="20"/>
      <c r="I293" t="s">
        <v>1325</v>
      </c>
      <c r="J293" s="28"/>
      <c r="L293" s="28"/>
      <c r="O293" s="2">
        <f>Wet_Wipes[[#This Row],[Цена за 1 бр. в BGN]]*Wet_Wipes[[#This Row],[Поръчано Количество]]</f>
        <v>0</v>
      </c>
      <c r="R293" t="str" cm="1">
        <f t="array" ref="R293">_xlfn.SWITCH(S293,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94" spans="1:18">
      <c r="A294" t="s">
        <v>1534</v>
      </c>
      <c r="B294">
        <v>22</v>
      </c>
      <c r="C294" s="2">
        <f>Wet_Wipes[[#This Row],[Желано количество]]</f>
        <v>22</v>
      </c>
      <c r="D294" s="28">
        <v>45869</v>
      </c>
      <c r="E294" t="s">
        <v>1182</v>
      </c>
      <c r="F294" s="30">
        <v>45861.415231481478</v>
      </c>
      <c r="G294" s="20"/>
      <c r="I294" t="s">
        <v>1325</v>
      </c>
      <c r="J294" s="28"/>
      <c r="L294" s="28"/>
      <c r="O294" s="2">
        <f>Wet_Wipes[[#This Row],[Цена за 1 бр. в BGN]]*Wet_Wipes[[#This Row],[Поръчано Количество]]</f>
        <v>0</v>
      </c>
      <c r="R294" t="str" cm="1">
        <f t="array" ref="R294">_xlfn.SWITCH(S294,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95" spans="1:18">
      <c r="A295" t="s">
        <v>1535</v>
      </c>
      <c r="B295">
        <v>10</v>
      </c>
      <c r="C295" s="2">
        <f>Wet_Wipes[[#This Row],[Желано количество]]</f>
        <v>10</v>
      </c>
      <c r="D295" s="28">
        <v>45900</v>
      </c>
      <c r="E295" t="s">
        <v>1212</v>
      </c>
      <c r="F295" s="30">
        <v>45861.770601851851</v>
      </c>
      <c r="G295" s="20"/>
      <c r="I295" t="s">
        <v>1536</v>
      </c>
      <c r="J295" s="28"/>
      <c r="L295" s="28"/>
      <c r="O295" s="2">
        <f>Wet_Wipes[[#This Row],[Цена за 1 бр. в BGN]]*Wet_Wipes[[#This Row],[Поръчано Количество]]</f>
        <v>0</v>
      </c>
      <c r="R295" t="str" cm="1">
        <f t="array" ref="R295">_xlfn.SWITCH(S295,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96" spans="1:18">
      <c r="A296" t="s">
        <v>1537</v>
      </c>
      <c r="B296">
        <v>100</v>
      </c>
      <c r="C296" s="2">
        <f>Wet_Wipes[[#This Row],[Желано количество]]</f>
        <v>100</v>
      </c>
      <c r="D296" s="28">
        <v>45900</v>
      </c>
      <c r="E296" t="s">
        <v>1208</v>
      </c>
      <c r="F296" s="30">
        <v>45864.281261574077</v>
      </c>
      <c r="G296" s="38">
        <v>197470</v>
      </c>
      <c r="H296" t="s">
        <v>22</v>
      </c>
      <c r="I296" t="s">
        <v>58</v>
      </c>
      <c r="J296" s="28">
        <v>45972</v>
      </c>
      <c r="L296" s="28">
        <v>45972</v>
      </c>
      <c r="O296" s="2">
        <f>Wet_Wipes[[#This Row],[Цена за 1 бр. в BGN]]*Wet_Wipes[[#This Row],[Поръчано Количество]]</f>
        <v>0</v>
      </c>
      <c r="R296" t="str" cm="1">
        <f t="array" ref="R296">_xlfn.SWITCH(S296,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97" spans="1:18">
      <c r="A297" t="s">
        <v>1538</v>
      </c>
      <c r="B297">
        <v>2</v>
      </c>
      <c r="C297" s="2">
        <f>Wet_Wipes[[#This Row],[Желано количество]]</f>
        <v>2</v>
      </c>
      <c r="D297" s="28">
        <v>45891</v>
      </c>
      <c r="E297" t="s">
        <v>1208</v>
      </c>
      <c r="F297" s="30">
        <v>45880.465578703705</v>
      </c>
      <c r="G297" s="20" t="s">
        <v>1539</v>
      </c>
      <c r="H297" t="s">
        <v>22</v>
      </c>
      <c r="I297" t="s">
        <v>667</v>
      </c>
      <c r="J297" s="28"/>
      <c r="L297" s="28" t="s">
        <v>1540</v>
      </c>
      <c r="O297" s="2">
        <f>Wet_Wipes[[#This Row],[Цена за 1 бр. в BGN]]*Wet_Wipes[[#This Row],[Поръчано Количество]]</f>
        <v>0</v>
      </c>
      <c r="R297" t="str" cm="1">
        <f t="array" ref="R297">_xlfn.SWITCH(S297,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98" spans="1:18">
      <c r="A298" t="s">
        <v>1541</v>
      </c>
      <c r="B298">
        <v>3</v>
      </c>
      <c r="C298" s="2">
        <v>0</v>
      </c>
      <c r="D298" s="28">
        <v>45930</v>
      </c>
      <c r="E298" t="s">
        <v>1186</v>
      </c>
      <c r="F298" s="30">
        <v>45894.72996527778</v>
      </c>
      <c r="G298" s="20" t="s">
        <v>1457</v>
      </c>
      <c r="H298" t="s">
        <v>780</v>
      </c>
      <c r="I298" t="s">
        <v>1220</v>
      </c>
      <c r="J298" s="28"/>
      <c r="L298" s="28"/>
      <c r="O298" s="2">
        <f>Wet_Wipes[[#This Row],[Цена за 1 бр. в BGN]]*Wet_Wipes[[#This Row],[Поръчано Количество]]</f>
        <v>0</v>
      </c>
      <c r="R298" t="str" cm="1">
        <f t="array" ref="R298">_xlfn.SWITCH(S298,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299" spans="1:18">
      <c r="A299" t="s">
        <v>1542</v>
      </c>
      <c r="B299">
        <v>1</v>
      </c>
      <c r="C299" s="2">
        <f>Wet_Wipes[[#This Row],[Желано количество]]</f>
        <v>1</v>
      </c>
      <c r="D299" s="28">
        <v>45930</v>
      </c>
      <c r="E299" t="s">
        <v>1182</v>
      </c>
      <c r="F299" s="30">
        <v>45894.733530092592</v>
      </c>
      <c r="G299" s="20" t="s">
        <v>1472</v>
      </c>
      <c r="H299" t="s">
        <v>22</v>
      </c>
      <c r="I299" t="s">
        <v>46</v>
      </c>
      <c r="J299" s="28">
        <v>45989</v>
      </c>
      <c r="L299" s="28"/>
      <c r="O299" s="2">
        <f>Wet_Wipes[[#This Row],[Цена за 1 бр. в BGN]]*Wet_Wipes[[#This Row],[Поръчано Количество]]</f>
        <v>0</v>
      </c>
      <c r="R299" t="str" cm="1">
        <f t="array" ref="R299">_xlfn.SWITCH(S299,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00" spans="1:18">
      <c r="A300" t="s">
        <v>1543</v>
      </c>
      <c r="B300">
        <v>3</v>
      </c>
      <c r="C300" s="2">
        <f>Wet_Wipes[[#This Row],[Желано количество]]</f>
        <v>3</v>
      </c>
      <c r="D300" s="28">
        <v>45930</v>
      </c>
      <c r="E300" t="s">
        <v>1188</v>
      </c>
      <c r="F300" s="30">
        <v>45894.734791666669</v>
      </c>
      <c r="G300" s="20" t="s">
        <v>1472</v>
      </c>
      <c r="H300" t="s">
        <v>22</v>
      </c>
      <c r="I300" t="s">
        <v>46</v>
      </c>
      <c r="J300" s="28">
        <v>45989</v>
      </c>
      <c r="L300" s="28"/>
      <c r="N300">
        <v>547.1</v>
      </c>
      <c r="O300" s="2">
        <f>Wet_Wipes[[#This Row],[Цена за 1 бр. в BGN]]*Wet_Wipes[[#This Row],[Поръчано Количество]]</f>
        <v>1641.3000000000002</v>
      </c>
      <c r="R300" t="str" cm="1">
        <f t="array" ref="R300">_xlfn.SWITCH(S300,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01" spans="1:18">
      <c r="A301" t="s">
        <v>1544</v>
      </c>
      <c r="B301">
        <v>5</v>
      </c>
      <c r="C301" s="2">
        <f>Wet_Wipes[[#This Row],[Желано количество]]</f>
        <v>5</v>
      </c>
      <c r="D301" s="28">
        <v>45930</v>
      </c>
      <c r="E301" t="s">
        <v>1188</v>
      </c>
      <c r="F301" s="30">
        <v>45894.735775462963</v>
      </c>
      <c r="G301" s="20" t="s">
        <v>1472</v>
      </c>
      <c r="H301" t="s">
        <v>22</v>
      </c>
      <c r="I301" t="s">
        <v>46</v>
      </c>
      <c r="J301" s="28">
        <v>45989</v>
      </c>
      <c r="L301" s="28"/>
      <c r="O301" s="2">
        <f>Wet_Wipes[[#This Row],[Цена за 1 бр. в BGN]]*Wet_Wipes[[#This Row],[Поръчано Количество]]</f>
        <v>0</v>
      </c>
      <c r="R301" t="str" cm="1">
        <f t="array" ref="R301">_xlfn.SWITCH(S301,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02" spans="1:18">
      <c r="A302" t="s">
        <v>1545</v>
      </c>
      <c r="B302">
        <v>10</v>
      </c>
      <c r="C302" s="2">
        <f>Wet_Wipes[[#This Row],[Желано количество]]</f>
        <v>10</v>
      </c>
      <c r="D302" s="28">
        <v>45930</v>
      </c>
      <c r="E302" t="s">
        <v>1285</v>
      </c>
      <c r="F302" s="30">
        <v>45894.737673611111</v>
      </c>
      <c r="G302" s="20"/>
      <c r="I302" t="s">
        <v>1325</v>
      </c>
      <c r="J302" s="28"/>
      <c r="L302" s="28"/>
      <c r="O302" s="2">
        <f>Wet_Wipes[[#This Row],[Цена за 1 бр. в BGN]]*Wet_Wipes[[#This Row],[Поръчано Количество]]</f>
        <v>0</v>
      </c>
      <c r="R302" t="str" cm="1">
        <f t="array" ref="R302">_xlfn.SWITCH(S302,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03" spans="1:18">
      <c r="A303" t="s">
        <v>1546</v>
      </c>
      <c r="B303">
        <v>1</v>
      </c>
      <c r="C303" s="2">
        <f>Wet_Wipes[[#This Row],[Желано количество]]</f>
        <v>1</v>
      </c>
      <c r="D303" s="28">
        <v>45930</v>
      </c>
      <c r="E303" t="s">
        <v>1188</v>
      </c>
      <c r="F303" s="30">
        <v>45894.738842592589</v>
      </c>
      <c r="G303" s="20" t="s">
        <v>1472</v>
      </c>
      <c r="H303" t="s">
        <v>22</v>
      </c>
      <c r="I303" t="s">
        <v>46</v>
      </c>
      <c r="J303" s="28">
        <v>45989</v>
      </c>
      <c r="L303" s="28"/>
      <c r="N303">
        <v>1660</v>
      </c>
      <c r="O303" s="2">
        <f>Wet_Wipes[[#This Row],[Цена за 1 бр. в BGN]]*Wet_Wipes[[#This Row],[Поръчано Количество]]</f>
        <v>1660</v>
      </c>
      <c r="R303" t="str" cm="1">
        <f t="array" ref="R303">_xlfn.SWITCH(S303,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04" spans="1:18">
      <c r="A304" t="s">
        <v>1416</v>
      </c>
      <c r="B304">
        <v>5</v>
      </c>
      <c r="C304" s="2">
        <f>Wet_Wipes[[#This Row],[Желано количество]]</f>
        <v>5</v>
      </c>
      <c r="D304" s="28">
        <v>45930</v>
      </c>
      <c r="E304" t="s">
        <v>1188</v>
      </c>
      <c r="F304" s="30">
        <v>45894.741469907407</v>
      </c>
      <c r="G304" s="20" t="s">
        <v>1258</v>
      </c>
      <c r="H304" t="s">
        <v>22</v>
      </c>
      <c r="I304" t="s">
        <v>1200</v>
      </c>
      <c r="J304" s="28"/>
      <c r="L304" s="28"/>
      <c r="O304" s="2">
        <f>Wet_Wipes[[#This Row],[Цена за 1 бр. в BGN]]*Wet_Wipes[[#This Row],[Поръчано Количество]]</f>
        <v>0</v>
      </c>
      <c r="R304" t="str" cm="1">
        <f t="array" ref="R304">_xlfn.SWITCH(S304,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05" spans="1:18">
      <c r="A305" t="s">
        <v>1547</v>
      </c>
      <c r="B305">
        <v>160</v>
      </c>
      <c r="C305" s="2">
        <f>Wet_Wipes[[#This Row],[Желано количество]]</f>
        <v>160</v>
      </c>
      <c r="D305" s="28">
        <v>45930</v>
      </c>
      <c r="E305" t="s">
        <v>1208</v>
      </c>
      <c r="F305" s="30">
        <v>45894.72892361111</v>
      </c>
      <c r="G305" s="20"/>
      <c r="I305" t="s">
        <v>1225</v>
      </c>
      <c r="J305" s="28"/>
      <c r="L305" s="28"/>
      <c r="O305" s="2">
        <f>Wet_Wipes[[#This Row],[Цена за 1 бр. в BGN]]*Wet_Wipes[[#This Row],[Поръчано Количество]]</f>
        <v>0</v>
      </c>
      <c r="R305" t="str" cm="1">
        <f t="array" ref="R305">_xlfn.SWITCH(S305,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06" spans="1:18">
      <c r="A306" t="s">
        <v>1548</v>
      </c>
      <c r="B306">
        <v>10</v>
      </c>
      <c r="C306" s="2">
        <f>Wet_Wipes[[#This Row],[Желано количество]]</f>
        <v>10</v>
      </c>
      <c r="D306" s="28">
        <v>45930</v>
      </c>
      <c r="E306" t="s">
        <v>1188</v>
      </c>
      <c r="F306" s="30">
        <v>45896.789363425924</v>
      </c>
      <c r="G306" s="20" t="s">
        <v>1258</v>
      </c>
      <c r="H306" t="s">
        <v>22</v>
      </c>
      <c r="I306" t="s">
        <v>1200</v>
      </c>
      <c r="J306" s="28"/>
      <c r="L306" s="28"/>
      <c r="O306" s="2">
        <f>Wet_Wipes[[#This Row],[Цена за 1 бр. в BGN]]*Wet_Wipes[[#This Row],[Поръчано Количество]]</f>
        <v>0</v>
      </c>
      <c r="R306" t="str" cm="1">
        <f t="array" ref="R306">_xlfn.SWITCH(S306,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07" spans="1:18" ht="15.75">
      <c r="A307" t="s">
        <v>1549</v>
      </c>
      <c r="B307">
        <v>20</v>
      </c>
      <c r="C307" s="2">
        <f>Wet_Wipes[[#This Row],[Желано количество]]</f>
        <v>20</v>
      </c>
      <c r="D307" s="28">
        <v>45930</v>
      </c>
      <c r="E307" t="s">
        <v>1188</v>
      </c>
      <c r="F307" s="30">
        <v>45896.792546296296</v>
      </c>
      <c r="G307" s="61">
        <v>187101</v>
      </c>
      <c r="H307" t="s">
        <v>22</v>
      </c>
      <c r="I307" t="s">
        <v>58</v>
      </c>
      <c r="J307" s="28">
        <v>45903</v>
      </c>
      <c r="L307" s="28">
        <v>45903</v>
      </c>
      <c r="M307">
        <f>Wet_Wipes[[#This Row],[Поръчано Количество]]</f>
        <v>20</v>
      </c>
      <c r="O307" s="2">
        <f>Wet_Wipes[[#This Row],[Цена за 1 бр. в BGN]]*Wet_Wipes[[#This Row],[Поръчано Количество]]</f>
        <v>0</v>
      </c>
      <c r="R307" t="str" cm="1">
        <f t="array" ref="R307">_xlfn.SWITCH(S307,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08" spans="1:18">
      <c r="A308" t="s">
        <v>1550</v>
      </c>
      <c r="B308">
        <v>10</v>
      </c>
      <c r="C308" s="2">
        <f>Wet_Wipes[[#This Row],[Желано количество]]</f>
        <v>10</v>
      </c>
      <c r="D308" s="28">
        <v>45930</v>
      </c>
      <c r="E308" t="s">
        <v>1188</v>
      </c>
      <c r="F308" s="30">
        <v>45896.793483796297</v>
      </c>
      <c r="G308" s="20" t="s">
        <v>1258</v>
      </c>
      <c r="H308" t="s">
        <v>22</v>
      </c>
      <c r="I308" t="s">
        <v>1200</v>
      </c>
      <c r="J308" s="28"/>
      <c r="L308" s="28"/>
      <c r="O308" s="2">
        <f>Wet_Wipes[[#This Row],[Цена за 1 бр. в BGN]]*Wet_Wipes[[#This Row],[Поръчано Количество]]</f>
        <v>0</v>
      </c>
      <c r="R308" t="str" cm="1">
        <f t="array" ref="R308">_xlfn.SWITCH(S308,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09" spans="1:18">
      <c r="A309" t="s">
        <v>1551</v>
      </c>
      <c r="B309">
        <v>10</v>
      </c>
      <c r="C309" s="2">
        <f>Wet_Wipes[[#This Row],[Желано количество]]</f>
        <v>10</v>
      </c>
      <c r="D309" s="28">
        <v>45930</v>
      </c>
      <c r="E309" t="s">
        <v>1188</v>
      </c>
      <c r="F309" s="30">
        <v>45896.795277777775</v>
      </c>
      <c r="G309" s="20" t="s">
        <v>1258</v>
      </c>
      <c r="H309" t="s">
        <v>22</v>
      </c>
      <c r="I309" t="s">
        <v>1200</v>
      </c>
      <c r="J309" s="28"/>
      <c r="L309" s="28"/>
      <c r="O309" s="2">
        <f>Wet_Wipes[[#This Row],[Цена за 1 бр. в BGN]]*Wet_Wipes[[#This Row],[Поръчано Количество]]</f>
        <v>0</v>
      </c>
      <c r="R309" t="str" cm="1">
        <f t="array" ref="R309">_xlfn.SWITCH(S309,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10" spans="1:18" ht="15.75">
      <c r="A310" t="s">
        <v>1552</v>
      </c>
      <c r="B310">
        <v>20</v>
      </c>
      <c r="C310" s="2">
        <f>Wet_Wipes[[#This Row],[Желано количество]]</f>
        <v>20</v>
      </c>
      <c r="D310" s="28">
        <v>45930</v>
      </c>
      <c r="E310" t="s">
        <v>1188</v>
      </c>
      <c r="F310" s="30">
        <v>45896.796111111114</v>
      </c>
      <c r="G310" s="61">
        <v>187101</v>
      </c>
      <c r="H310" t="s">
        <v>22</v>
      </c>
      <c r="I310" t="s">
        <v>58</v>
      </c>
      <c r="J310" s="28">
        <v>45903</v>
      </c>
      <c r="L310" s="28">
        <v>45903</v>
      </c>
      <c r="M310">
        <f>Wet_Wipes[[#This Row],[Поръчано Количество]]</f>
        <v>20</v>
      </c>
      <c r="O310" s="2">
        <f>Wet_Wipes[[#This Row],[Цена за 1 бр. в BGN]]*Wet_Wipes[[#This Row],[Поръчано Количество]]</f>
        <v>0</v>
      </c>
      <c r="R310" t="str" cm="1">
        <f t="array" ref="R310">_xlfn.SWITCH(S310,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11" spans="1:18">
      <c r="A311" t="s">
        <v>1553</v>
      </c>
      <c r="B311">
        <v>10</v>
      </c>
      <c r="C311" s="2">
        <f>Wet_Wipes[[#This Row],[Желано количество]]</f>
        <v>10</v>
      </c>
      <c r="D311" s="28">
        <v>45930</v>
      </c>
      <c r="E311" t="s">
        <v>1188</v>
      </c>
      <c r="F311" s="30">
        <v>45896.798634259256</v>
      </c>
      <c r="G311" s="20" t="s">
        <v>1258</v>
      </c>
      <c r="H311" t="s">
        <v>22</v>
      </c>
      <c r="I311" t="s">
        <v>1200</v>
      </c>
      <c r="J311" s="28"/>
      <c r="L311" s="28"/>
      <c r="O311" s="2">
        <f>Wet_Wipes[[#This Row],[Цена за 1 бр. в BGN]]*Wet_Wipes[[#This Row],[Поръчано Количество]]</f>
        <v>0</v>
      </c>
      <c r="R311" t="str" cm="1">
        <f t="array" ref="R311">_xlfn.SWITCH(S311,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12" spans="1:18">
      <c r="A312" t="s">
        <v>1554</v>
      </c>
      <c r="B312">
        <v>5</v>
      </c>
      <c r="C312" s="2">
        <f>Wet_Wipes[[#This Row],[Желано количество]]</f>
        <v>5</v>
      </c>
      <c r="D312" s="28">
        <v>45930</v>
      </c>
      <c r="E312" t="s">
        <v>1208</v>
      </c>
      <c r="F312" s="30">
        <v>45896.800335648149</v>
      </c>
      <c r="G312" s="20"/>
      <c r="I312" t="s">
        <v>1225</v>
      </c>
      <c r="J312" s="28"/>
      <c r="L312" s="28"/>
      <c r="O312" s="2">
        <f>Wet_Wipes[[#This Row],[Цена за 1 бр. в BGN]]*Wet_Wipes[[#This Row],[Поръчано Количество]]</f>
        <v>0</v>
      </c>
      <c r="R312" t="str" cm="1">
        <f t="array" ref="R312">_xlfn.SWITCH(S312,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13" spans="1:18">
      <c r="A313" t="s">
        <v>1555</v>
      </c>
      <c r="B313">
        <v>5</v>
      </c>
      <c r="C313" s="2">
        <f>Wet_Wipes[[#This Row],[Желано количество]]</f>
        <v>5</v>
      </c>
      <c r="D313" s="28">
        <v>45961</v>
      </c>
      <c r="E313" t="s">
        <v>1188</v>
      </c>
      <c r="F313" s="30">
        <v>45896.804606481484</v>
      </c>
      <c r="G313" s="20"/>
      <c r="I313" t="s">
        <v>1325</v>
      </c>
      <c r="J313" s="28"/>
      <c r="L313" s="28"/>
      <c r="O313" s="2">
        <f>Wet_Wipes[[#This Row],[Цена за 1 бр. в BGN]]*Wet_Wipes[[#This Row],[Поръчано Количество]]</f>
        <v>0</v>
      </c>
      <c r="R313" t="str" cm="1">
        <f t="array" ref="R313">_xlfn.SWITCH(S313,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14" spans="1:18">
      <c r="A314" t="s">
        <v>1556</v>
      </c>
      <c r="B314">
        <v>5</v>
      </c>
      <c r="C314" s="2">
        <f>Wet_Wipes[[#This Row],[Желано количество]]</f>
        <v>5</v>
      </c>
      <c r="D314" s="28">
        <v>45930</v>
      </c>
      <c r="E314" t="s">
        <v>1208</v>
      </c>
      <c r="F314" s="30">
        <v>45896.805694444447</v>
      </c>
      <c r="G314" s="20"/>
      <c r="I314" t="s">
        <v>1325</v>
      </c>
      <c r="J314" s="28"/>
      <c r="L314" s="28"/>
      <c r="O314" s="2">
        <f>Wet_Wipes[[#This Row],[Цена за 1 бр. в BGN]]*Wet_Wipes[[#This Row],[Поръчано Количество]]</f>
        <v>0</v>
      </c>
      <c r="R314" t="str" cm="1">
        <f t="array" ref="R314">_xlfn.SWITCH(S314,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15" spans="1:18">
      <c r="A315" t="s">
        <v>1557</v>
      </c>
      <c r="B315">
        <v>10</v>
      </c>
      <c r="C315" s="2">
        <f>Wet_Wipes[[#This Row],[Желано количество]]</f>
        <v>10</v>
      </c>
      <c r="D315" s="28">
        <v>45930</v>
      </c>
      <c r="E315" t="s">
        <v>1208</v>
      </c>
      <c r="F315" s="30">
        <v>45896.806400462963</v>
      </c>
      <c r="G315" s="20" t="s">
        <v>1472</v>
      </c>
      <c r="H315" t="s">
        <v>22</v>
      </c>
      <c r="I315" t="s">
        <v>46</v>
      </c>
      <c r="J315" s="28">
        <v>45989</v>
      </c>
      <c r="L315" s="28"/>
      <c r="O315" s="2">
        <f>Wet_Wipes[[#This Row],[Цена за 1 бр. в BGN]]*Wet_Wipes[[#This Row],[Поръчано Количество]]</f>
        <v>0</v>
      </c>
      <c r="R315" t="str" cm="1">
        <f t="array" ref="R315">_xlfn.SWITCH(S315,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16" spans="1:18">
      <c r="A316" t="s">
        <v>1283</v>
      </c>
      <c r="B316">
        <v>6</v>
      </c>
      <c r="C316" s="2">
        <f>Wet_Wipes[[#This Row],[Желано количество]]</f>
        <v>6</v>
      </c>
      <c r="D316" s="28">
        <v>45930</v>
      </c>
      <c r="E316" t="s">
        <v>1208</v>
      </c>
      <c r="F316" s="30">
        <v>45896.806886574072</v>
      </c>
      <c r="G316" s="20" t="s">
        <v>1472</v>
      </c>
      <c r="H316" t="s">
        <v>22</v>
      </c>
      <c r="I316" t="s">
        <v>46</v>
      </c>
      <c r="J316" s="28">
        <v>45989</v>
      </c>
      <c r="L316" s="28"/>
      <c r="O316" s="2">
        <f>Wet_Wipes[[#This Row],[Цена за 1 бр. в BGN]]*Wet_Wipes[[#This Row],[Поръчано Количество]]</f>
        <v>0</v>
      </c>
      <c r="R316" t="str" cm="1">
        <f t="array" ref="R316">_xlfn.SWITCH(S316,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17" spans="1:18">
      <c r="A317" t="s">
        <v>1558</v>
      </c>
      <c r="B317">
        <v>3</v>
      </c>
      <c r="C317" s="2">
        <f>Wet_Wipes[[#This Row],[Желано количество]]</f>
        <v>3</v>
      </c>
      <c r="D317" s="28">
        <v>45930</v>
      </c>
      <c r="E317" t="s">
        <v>1208</v>
      </c>
      <c r="F317" s="30">
        <v>45896.807997685188</v>
      </c>
      <c r="G317" s="20" t="s">
        <v>1472</v>
      </c>
      <c r="H317" t="s">
        <v>22</v>
      </c>
      <c r="I317" t="s">
        <v>46</v>
      </c>
      <c r="J317" s="28">
        <v>45989</v>
      </c>
      <c r="L317" s="28"/>
      <c r="O317" s="2">
        <f>Wet_Wipes[[#This Row],[Цена за 1 бр. в BGN]]*Wet_Wipes[[#This Row],[Поръчано Количество]]</f>
        <v>0</v>
      </c>
      <c r="R317" t="str" cm="1">
        <f t="array" ref="R317">_xlfn.SWITCH(S317,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18" spans="1:18">
      <c r="A318" t="s">
        <v>1559</v>
      </c>
      <c r="B318">
        <v>4</v>
      </c>
      <c r="C318" s="2">
        <f>Wet_Wipes[[#This Row],[Желано количество]]</f>
        <v>4</v>
      </c>
      <c r="D318" s="28">
        <v>45930</v>
      </c>
      <c r="E318" t="s">
        <v>1208</v>
      </c>
      <c r="F318" s="30">
        <v>45896.808807870373</v>
      </c>
      <c r="G318" s="20" t="s">
        <v>1403</v>
      </c>
      <c r="H318" t="s">
        <v>22</v>
      </c>
      <c r="I318" t="s">
        <v>1404</v>
      </c>
      <c r="J318" s="28"/>
      <c r="L318" s="28"/>
      <c r="O318" s="2">
        <f>Wet_Wipes[[#This Row],[Цена за 1 бр. в BGN]]*Wet_Wipes[[#This Row],[Поръчано Количество]]</f>
        <v>0</v>
      </c>
      <c r="R318" t="str" cm="1">
        <f t="array" ref="R318">_xlfn.SWITCH(S318,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19" spans="1:18">
      <c r="A319" t="s">
        <v>1560</v>
      </c>
      <c r="B319">
        <v>10</v>
      </c>
      <c r="C319" s="2">
        <f>Wet_Wipes[[#This Row],[Желано количество]]</f>
        <v>10</v>
      </c>
      <c r="D319" s="28">
        <v>45930</v>
      </c>
      <c r="E319" t="s">
        <v>1188</v>
      </c>
      <c r="F319" s="30">
        <v>45896.809942129628</v>
      </c>
      <c r="G319" s="20" t="s">
        <v>1561</v>
      </c>
      <c r="H319" t="s">
        <v>22</v>
      </c>
      <c r="I319" t="s">
        <v>1562</v>
      </c>
      <c r="J319" s="28"/>
      <c r="L319" s="28"/>
      <c r="O319" s="2">
        <f>Wet_Wipes[[#This Row],[Цена за 1 бр. в BGN]]*Wet_Wipes[[#This Row],[Поръчано Количество]]</f>
        <v>0</v>
      </c>
      <c r="R319" t="str" cm="1">
        <f t="array" ref="R319">_xlfn.SWITCH(S319,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20" spans="1:18">
      <c r="A320" t="s">
        <v>1563</v>
      </c>
      <c r="B320">
        <v>10</v>
      </c>
      <c r="C320" s="2">
        <f>Wet_Wipes[[#This Row],[Желано количество]]</f>
        <v>10</v>
      </c>
      <c r="D320" s="28">
        <v>45930</v>
      </c>
      <c r="E320" t="s">
        <v>1188</v>
      </c>
      <c r="F320" s="30">
        <v>45896.810289351852</v>
      </c>
      <c r="G320" s="20" t="s">
        <v>1561</v>
      </c>
      <c r="H320" t="s">
        <v>22</v>
      </c>
      <c r="I320" t="s">
        <v>1562</v>
      </c>
      <c r="J320" s="28"/>
      <c r="L320" s="28"/>
      <c r="O320" s="2">
        <f>Wet_Wipes[[#This Row],[Цена за 1 бр. в BGN]]*Wet_Wipes[[#This Row],[Поръчано Количество]]</f>
        <v>0</v>
      </c>
      <c r="R320" t="str" cm="1">
        <f t="array" ref="R320">_xlfn.SWITCH(S320,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21" spans="1:18">
      <c r="A321" t="s">
        <v>1564</v>
      </c>
      <c r="B321">
        <v>5</v>
      </c>
      <c r="C321" s="2">
        <f>Wet_Wipes[[#This Row],[Желано количество]]</f>
        <v>5</v>
      </c>
      <c r="D321" s="28">
        <v>45930</v>
      </c>
      <c r="E321" t="s">
        <v>1208</v>
      </c>
      <c r="F321" s="30">
        <v>45896.812060185184</v>
      </c>
      <c r="G321" s="20" t="s">
        <v>1472</v>
      </c>
      <c r="H321" t="s">
        <v>22</v>
      </c>
      <c r="I321" t="s">
        <v>46</v>
      </c>
      <c r="J321" s="28">
        <v>45989</v>
      </c>
      <c r="L321" s="28"/>
      <c r="N321">
        <v>352</v>
      </c>
      <c r="O321" s="2">
        <f>Wet_Wipes[[#This Row],[Цена за 1 бр. в BGN]]*Wet_Wipes[[#This Row],[Поръчано Количество]]</f>
        <v>1760</v>
      </c>
      <c r="R321" t="str" cm="1">
        <f t="array" ref="R321">_xlfn.SWITCH(S321,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22" spans="1:18">
      <c r="A322" t="s">
        <v>1565</v>
      </c>
      <c r="B322">
        <v>3</v>
      </c>
      <c r="C322" s="2">
        <v>1</v>
      </c>
      <c r="D322" s="28">
        <v>45930</v>
      </c>
      <c r="E322" t="s">
        <v>1208</v>
      </c>
      <c r="F322" s="30">
        <v>45896.812893518516</v>
      </c>
      <c r="G322" s="20" t="s">
        <v>1472</v>
      </c>
      <c r="H322" t="s">
        <v>22</v>
      </c>
      <c r="I322" t="s">
        <v>46</v>
      </c>
      <c r="J322" s="28">
        <v>45989</v>
      </c>
      <c r="L322" s="28"/>
      <c r="N322">
        <v>399</v>
      </c>
      <c r="O322" s="2">
        <f>Wet_Wipes[[#This Row],[Цена за 1 бр. в BGN]]*Wet_Wipes[[#This Row],[Поръчано Количество]]</f>
        <v>399</v>
      </c>
      <c r="R322" t="str" cm="1">
        <f t="array" ref="R322">_xlfn.SWITCH(S322,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23" spans="1:18">
      <c r="A323" t="s">
        <v>1566</v>
      </c>
      <c r="B323">
        <v>3</v>
      </c>
      <c r="C323" s="2">
        <f>Wet_Wipes[[#This Row],[Желано количество]]</f>
        <v>3</v>
      </c>
      <c r="D323" s="28">
        <v>45930</v>
      </c>
      <c r="E323" t="s">
        <v>1208</v>
      </c>
      <c r="F323" s="30">
        <v>45896.813831018517</v>
      </c>
      <c r="G323" s="20" t="s">
        <v>1472</v>
      </c>
      <c r="H323" t="s">
        <v>22</v>
      </c>
      <c r="I323" t="s">
        <v>46</v>
      </c>
      <c r="J323" s="28">
        <v>45989</v>
      </c>
      <c r="L323" s="28"/>
      <c r="O323" s="2">
        <f>Wet_Wipes[[#This Row],[Цена за 1 бр. в BGN]]*Wet_Wipes[[#This Row],[Поръчано Количество]]</f>
        <v>0</v>
      </c>
      <c r="R323" t="str" cm="1">
        <f t="array" ref="R323">_xlfn.SWITCH(S323,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24" spans="1:18">
      <c r="A324" t="s">
        <v>1567</v>
      </c>
      <c r="B324">
        <v>3</v>
      </c>
      <c r="C324" s="2">
        <v>1</v>
      </c>
      <c r="D324" s="28">
        <v>45930</v>
      </c>
      <c r="E324" t="s">
        <v>1188</v>
      </c>
      <c r="F324" s="30">
        <v>45896.814629629633</v>
      </c>
      <c r="G324" s="20" t="s">
        <v>1472</v>
      </c>
      <c r="H324" t="s">
        <v>22</v>
      </c>
      <c r="I324" t="s">
        <v>46</v>
      </c>
      <c r="J324" s="28">
        <v>45989</v>
      </c>
      <c r="L324" s="28"/>
      <c r="N324">
        <v>547.1</v>
      </c>
      <c r="O324" s="2">
        <f>Wet_Wipes[[#This Row],[Цена за 1 бр. в BGN]]*Wet_Wipes[[#This Row],[Поръчано Количество]]</f>
        <v>547.1</v>
      </c>
      <c r="R324" t="str" cm="1">
        <f t="array" ref="R324">_xlfn.SWITCH(S324,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25" spans="1:18">
      <c r="A325" t="s">
        <v>1568</v>
      </c>
      <c r="B325">
        <v>3</v>
      </c>
      <c r="C325" s="2">
        <f>Wet_Wipes[[#This Row],[Желано количество]]</f>
        <v>3</v>
      </c>
      <c r="D325" s="28">
        <v>45930</v>
      </c>
      <c r="E325" t="s">
        <v>1208</v>
      </c>
      <c r="F325" s="30">
        <v>45896.815115740741</v>
      </c>
      <c r="G325" s="20" t="s">
        <v>1472</v>
      </c>
      <c r="H325" t="s">
        <v>22</v>
      </c>
      <c r="I325" t="s">
        <v>46</v>
      </c>
      <c r="J325" s="28">
        <v>45989</v>
      </c>
      <c r="L325" s="28"/>
      <c r="O325" s="2">
        <f>Wet_Wipes[[#This Row],[Цена за 1 бр. в BGN]]*Wet_Wipes[[#This Row],[Поръчано Количество]]</f>
        <v>0</v>
      </c>
      <c r="R325" t="str" cm="1">
        <f t="array" ref="R325">_xlfn.SWITCH(S325,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26" spans="1:18">
      <c r="A326" t="s">
        <v>1569</v>
      </c>
      <c r="B326">
        <v>9</v>
      </c>
      <c r="C326" s="2">
        <f>Wet_Wipes[[#This Row],[Желано количество]]</f>
        <v>9</v>
      </c>
      <c r="D326" s="28">
        <v>45930</v>
      </c>
      <c r="E326" t="s">
        <v>1188</v>
      </c>
      <c r="F326" s="30">
        <v>45896.815891203703</v>
      </c>
      <c r="G326" s="20" t="s">
        <v>1472</v>
      </c>
      <c r="H326" t="s">
        <v>22</v>
      </c>
      <c r="I326" t="s">
        <v>46</v>
      </c>
      <c r="J326" s="28">
        <v>45989</v>
      </c>
      <c r="L326" s="28"/>
      <c r="O326" s="2">
        <f>Wet_Wipes[[#This Row],[Цена за 1 бр. в BGN]]*Wet_Wipes[[#This Row],[Поръчано Количество]]</f>
        <v>0</v>
      </c>
      <c r="R326" t="str" cm="1">
        <f t="array" ref="R326">_xlfn.SWITCH(S326,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27" spans="1:18">
      <c r="A327" t="s">
        <v>1570</v>
      </c>
      <c r="B327">
        <v>5</v>
      </c>
      <c r="C327" s="2">
        <f>Wet_Wipes[[#This Row],[Желано количество]]</f>
        <v>5</v>
      </c>
      <c r="D327" s="28">
        <v>45930</v>
      </c>
      <c r="E327" t="s">
        <v>1188</v>
      </c>
      <c r="F327" s="30">
        <v>45896.816678240742</v>
      </c>
      <c r="G327" s="20" t="s">
        <v>1472</v>
      </c>
      <c r="H327" t="s">
        <v>22</v>
      </c>
      <c r="I327" t="s">
        <v>46</v>
      </c>
      <c r="J327" s="28">
        <v>45989</v>
      </c>
      <c r="L327" s="28"/>
      <c r="O327" s="2">
        <f>Wet_Wipes[[#This Row],[Цена за 1 бр. в BGN]]*Wet_Wipes[[#This Row],[Поръчано Количество]]</f>
        <v>0</v>
      </c>
      <c r="R327" t="str" cm="1">
        <f t="array" ref="R327">_xlfn.SWITCH(S327,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28" spans="1:18">
      <c r="A328" t="s">
        <v>1571</v>
      </c>
      <c r="B328">
        <v>1</v>
      </c>
      <c r="C328" s="2">
        <f>Wet_Wipes[[#This Row],[Желано количество]]</f>
        <v>1</v>
      </c>
      <c r="D328" s="28">
        <v>45930</v>
      </c>
      <c r="E328" t="s">
        <v>1208</v>
      </c>
      <c r="F328" s="30">
        <v>45896.817881944444</v>
      </c>
      <c r="G328" s="20"/>
      <c r="I328" t="s">
        <v>1225</v>
      </c>
      <c r="J328" s="28"/>
      <c r="L328" s="28"/>
      <c r="O328" s="2">
        <f>Wet_Wipes[[#This Row],[Цена за 1 бр. в BGN]]*Wet_Wipes[[#This Row],[Поръчано Количество]]</f>
        <v>0</v>
      </c>
      <c r="R328" t="str" cm="1">
        <f t="array" ref="R328">_xlfn.SWITCH(S328,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29" spans="1:18">
      <c r="A329" t="s">
        <v>1572</v>
      </c>
      <c r="B329">
        <v>20</v>
      </c>
      <c r="C329" s="2">
        <f>Wet_Wipes[[#This Row],[Желано количество]]</f>
        <v>20</v>
      </c>
      <c r="D329" s="28">
        <v>45930</v>
      </c>
      <c r="E329" t="s">
        <v>1208</v>
      </c>
      <c r="F329" s="30">
        <v>45897.062013888892</v>
      </c>
      <c r="G329" s="20" t="s">
        <v>1394</v>
      </c>
      <c r="H329" t="s">
        <v>22</v>
      </c>
      <c r="I329" t="s">
        <v>104</v>
      </c>
      <c r="J329" s="28"/>
      <c r="L329" s="28">
        <v>45918</v>
      </c>
      <c r="M329">
        <v>20</v>
      </c>
      <c r="N329">
        <v>8.2200000000000006</v>
      </c>
      <c r="O329" s="2">
        <f>Wet_Wipes[[#This Row],[Цена за 1 бр. в BGN]]*Wet_Wipes[[#This Row],[Поръчано Количество]]</f>
        <v>164.4</v>
      </c>
      <c r="R329" t="str" cm="1">
        <f t="array" ref="R329">_xlfn.SWITCH(S329,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30" spans="1:18" ht="15.75">
      <c r="A330" t="s">
        <v>1573</v>
      </c>
      <c r="B330">
        <v>20</v>
      </c>
      <c r="C330" s="2">
        <f>Wet_Wipes[[#This Row],[Желано количество]]</f>
        <v>20</v>
      </c>
      <c r="D330" s="28">
        <v>45930</v>
      </c>
      <c r="E330" t="s">
        <v>1208</v>
      </c>
      <c r="F330" s="30">
        <v>45897.069189814814</v>
      </c>
      <c r="G330" s="61">
        <v>187101</v>
      </c>
      <c r="H330" t="s">
        <v>22</v>
      </c>
      <c r="I330" t="s">
        <v>58</v>
      </c>
      <c r="J330" s="28">
        <v>45903</v>
      </c>
      <c r="L330" s="28">
        <v>45903</v>
      </c>
      <c r="M330">
        <f>Wet_Wipes[[#This Row],[Поръчано Количество]]</f>
        <v>20</v>
      </c>
      <c r="O330" s="2">
        <f>Wet_Wipes[[#This Row],[Цена за 1 бр. в BGN]]*Wet_Wipes[[#This Row],[Поръчано Количество]]</f>
        <v>0</v>
      </c>
      <c r="R330" t="str" cm="1">
        <f t="array" ref="R330">_xlfn.SWITCH(S330,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31" spans="1:18" ht="15.75">
      <c r="A331" t="s">
        <v>1574</v>
      </c>
      <c r="B331">
        <v>20</v>
      </c>
      <c r="C331" s="2">
        <f>Wet_Wipes[[#This Row],[Желано количество]]</f>
        <v>20</v>
      </c>
      <c r="D331" s="28">
        <v>45930</v>
      </c>
      <c r="E331" t="s">
        <v>1212</v>
      </c>
      <c r="F331" s="30">
        <v>45898.748969907407</v>
      </c>
      <c r="G331" s="61">
        <v>187101</v>
      </c>
      <c r="H331" t="s">
        <v>22</v>
      </c>
      <c r="I331" t="s">
        <v>58</v>
      </c>
      <c r="J331" s="28">
        <v>45903</v>
      </c>
      <c r="L331" s="28">
        <v>45903</v>
      </c>
      <c r="M331">
        <f>Wet_Wipes[[#This Row],[Поръчано Количество]]</f>
        <v>20</v>
      </c>
      <c r="O331" s="2">
        <f>Wet_Wipes[[#This Row],[Цена за 1 бр. в BGN]]*Wet_Wipes[[#This Row],[Поръчано Количество]]</f>
        <v>0</v>
      </c>
      <c r="R331" t="str" cm="1">
        <f t="array" ref="R331">_xlfn.SWITCH(S331,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32" spans="1:18">
      <c r="A332" t="s">
        <v>1575</v>
      </c>
      <c r="B332">
        <v>10</v>
      </c>
      <c r="C332" s="2">
        <f>Wet_Wipes[[#This Row],[Желано количество]]</f>
        <v>10</v>
      </c>
      <c r="D332" s="28">
        <v>45930</v>
      </c>
      <c r="E332" t="s">
        <v>1188</v>
      </c>
      <c r="F332" s="30">
        <v>45898.750983796293</v>
      </c>
      <c r="G332" s="20" t="s">
        <v>1258</v>
      </c>
      <c r="H332" t="s">
        <v>22</v>
      </c>
      <c r="I332" t="s">
        <v>1200</v>
      </c>
      <c r="J332" s="28"/>
      <c r="L332" s="28"/>
      <c r="O332" s="2">
        <f>Wet_Wipes[[#This Row],[Цена за 1 бр. в BGN]]*Wet_Wipes[[#This Row],[Поръчано Количество]]</f>
        <v>0</v>
      </c>
      <c r="R332" t="str" cm="1">
        <f t="array" ref="R332">_xlfn.SWITCH(S332,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33" spans="1:18">
      <c r="A333" t="s">
        <v>1576</v>
      </c>
      <c r="B333">
        <v>20</v>
      </c>
      <c r="C333" s="2">
        <f>Wet_Wipes[[#This Row],[Желано количество]]</f>
        <v>20</v>
      </c>
      <c r="D333" s="28">
        <v>45930</v>
      </c>
      <c r="E333" t="s">
        <v>1188</v>
      </c>
      <c r="F333" s="30">
        <v>45898.756944444445</v>
      </c>
      <c r="G333" s="20" t="s">
        <v>1258</v>
      </c>
      <c r="H333" t="s">
        <v>22</v>
      </c>
      <c r="I333" t="s">
        <v>1200</v>
      </c>
      <c r="J333" s="28"/>
      <c r="L333" s="28"/>
      <c r="O333" s="2">
        <f>Wet_Wipes[[#This Row],[Цена за 1 бр. в BGN]]*Wet_Wipes[[#This Row],[Поръчано Количество]]</f>
        <v>0</v>
      </c>
      <c r="R333" t="str" cm="1">
        <f t="array" ref="R333">_xlfn.SWITCH(S333,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34" spans="1:18">
      <c r="A334" t="s">
        <v>1577</v>
      </c>
      <c r="B334">
        <v>20</v>
      </c>
      <c r="C334" s="2">
        <f>Wet_Wipes[[#This Row],[Желано количество]]</f>
        <v>20</v>
      </c>
      <c r="D334" s="28">
        <v>45930</v>
      </c>
      <c r="E334" t="s">
        <v>1188</v>
      </c>
      <c r="F334" s="30">
        <v>45898.759756944448</v>
      </c>
      <c r="G334" s="20" t="s">
        <v>1258</v>
      </c>
      <c r="H334" t="s">
        <v>22</v>
      </c>
      <c r="I334" t="s">
        <v>1200</v>
      </c>
      <c r="J334" s="28"/>
      <c r="L334" s="28"/>
      <c r="O334" s="2">
        <f>Wet_Wipes[[#This Row],[Цена за 1 бр. в BGN]]*Wet_Wipes[[#This Row],[Поръчано Количество]]</f>
        <v>0</v>
      </c>
      <c r="R334" t="str" cm="1">
        <f t="array" ref="R334">_xlfn.SWITCH(S334,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35" spans="1:18">
      <c r="A335" t="s">
        <v>1578</v>
      </c>
      <c r="B335">
        <v>5</v>
      </c>
      <c r="C335" s="2">
        <f>Wet_Wipes[[#This Row],[Желано количество]]</f>
        <v>5</v>
      </c>
      <c r="D335" s="28">
        <v>45930</v>
      </c>
      <c r="E335" t="s">
        <v>1188</v>
      </c>
      <c r="F335" s="30">
        <v>45898.762650462966</v>
      </c>
      <c r="G335" s="20" t="s">
        <v>1258</v>
      </c>
      <c r="H335" t="s">
        <v>22</v>
      </c>
      <c r="I335" t="s">
        <v>1200</v>
      </c>
      <c r="J335" s="28"/>
      <c r="L335" s="28"/>
      <c r="O335" s="2">
        <f>Wet_Wipes[[#This Row],[Цена за 1 бр. в BGN]]*Wet_Wipes[[#This Row],[Поръчано Количество]]</f>
        <v>0</v>
      </c>
      <c r="R335" t="str" cm="1">
        <f t="array" ref="R335">_xlfn.SWITCH(S335,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36" spans="1:18">
      <c r="A336" t="s">
        <v>1579</v>
      </c>
      <c r="B336">
        <v>2</v>
      </c>
      <c r="C336" s="2">
        <f>Wet_Wipes[[#This Row],[Желано количество]]</f>
        <v>2</v>
      </c>
      <c r="D336" s="28">
        <v>45930</v>
      </c>
      <c r="E336" t="s">
        <v>1285</v>
      </c>
      <c r="F336" s="30">
        <v>45898.923506944448</v>
      </c>
      <c r="G336" s="20" t="s">
        <v>1472</v>
      </c>
      <c r="H336" t="s">
        <v>22</v>
      </c>
      <c r="I336" t="s">
        <v>46</v>
      </c>
      <c r="J336" s="28">
        <v>45989</v>
      </c>
      <c r="L336" s="28"/>
      <c r="O336" s="2">
        <f>Wet_Wipes[[#This Row],[Цена за 1 бр. в BGN]]*Wet_Wipes[[#This Row],[Поръчано Количество]]</f>
        <v>0</v>
      </c>
      <c r="R336" t="str" cm="1">
        <f t="array" ref="R336">_xlfn.SWITCH(S336,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37" spans="1:18">
      <c r="A337" t="s">
        <v>1580</v>
      </c>
      <c r="B337">
        <v>1</v>
      </c>
      <c r="C337" s="2">
        <f>Wet_Wipes[[#This Row],[Желано количество]]</f>
        <v>1</v>
      </c>
      <c r="D337" s="28">
        <v>45930</v>
      </c>
      <c r="E337" t="s">
        <v>1285</v>
      </c>
      <c r="F337" s="30">
        <v>45898.923900462964</v>
      </c>
      <c r="G337" s="20" t="s">
        <v>1472</v>
      </c>
      <c r="H337" t="s">
        <v>22</v>
      </c>
      <c r="I337" t="s">
        <v>46</v>
      </c>
      <c r="J337" s="28">
        <v>45989</v>
      </c>
      <c r="L337" s="28"/>
      <c r="O337" s="2">
        <f>Wet_Wipes[[#This Row],[Цена за 1 бр. в BGN]]*Wet_Wipes[[#This Row],[Поръчано Количество]]</f>
        <v>0</v>
      </c>
      <c r="R337" t="str" cm="1">
        <f t="array" ref="R337">_xlfn.SWITCH(S337,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38" spans="1:18">
      <c r="A338" t="s">
        <v>1284</v>
      </c>
      <c r="B338">
        <v>4</v>
      </c>
      <c r="C338" s="2">
        <f>Wet_Wipes[[#This Row],[Желано количество]]</f>
        <v>4</v>
      </c>
      <c r="D338" s="28">
        <v>45930</v>
      </c>
      <c r="E338" t="s">
        <v>1285</v>
      </c>
      <c r="F338" s="30">
        <v>45898.924421296295</v>
      </c>
      <c r="G338" s="20" t="s">
        <v>1472</v>
      </c>
      <c r="H338" t="s">
        <v>22</v>
      </c>
      <c r="I338" t="s">
        <v>46</v>
      </c>
      <c r="J338" s="28">
        <v>45989</v>
      </c>
      <c r="L338" s="28"/>
      <c r="O338" s="2">
        <f>Wet_Wipes[[#This Row],[Цена за 1 бр. в BGN]]*Wet_Wipes[[#This Row],[Поръчано Количество]]</f>
        <v>0</v>
      </c>
      <c r="R338" t="str" cm="1">
        <f t="array" ref="R338">_xlfn.SWITCH(S338,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39" spans="1:18">
      <c r="A339" t="s">
        <v>1581</v>
      </c>
      <c r="B339">
        <v>5</v>
      </c>
      <c r="C339" s="2">
        <f>Wet_Wipes[[#This Row],[Желано количество]]</f>
        <v>5</v>
      </c>
      <c r="D339" s="28">
        <v>45930</v>
      </c>
      <c r="E339" t="s">
        <v>1285</v>
      </c>
      <c r="F339" s="30">
        <v>45898.92564814815</v>
      </c>
      <c r="G339" s="20"/>
      <c r="H339" t="s">
        <v>22</v>
      </c>
      <c r="J339" s="28"/>
      <c r="L339" s="28"/>
      <c r="O339" s="2">
        <f>Wet_Wipes[[#This Row],[Цена за 1 бр. в BGN]]*Wet_Wipes[[#This Row],[Поръчано Количество]]</f>
        <v>0</v>
      </c>
      <c r="R339" t="str" cm="1">
        <f t="array" ref="R339">_xlfn.SWITCH(S339,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40" spans="1:18">
      <c r="A340" t="s">
        <v>1582</v>
      </c>
      <c r="B340">
        <v>10</v>
      </c>
      <c r="C340" s="2">
        <f>Wet_Wipes[[#This Row],[Желано количество]]</f>
        <v>10</v>
      </c>
      <c r="D340" s="28">
        <v>45930</v>
      </c>
      <c r="E340" t="s">
        <v>1285</v>
      </c>
      <c r="F340" s="30">
        <v>45898.926157407404</v>
      </c>
      <c r="G340" s="20"/>
      <c r="I340" t="s">
        <v>1325</v>
      </c>
      <c r="J340" s="28"/>
      <c r="L340" s="28"/>
      <c r="O340" s="2">
        <f>Wet_Wipes[[#This Row],[Цена за 1 бр. в BGN]]*Wet_Wipes[[#This Row],[Поръчано Количество]]</f>
        <v>0</v>
      </c>
      <c r="R340" t="str" cm="1">
        <f t="array" ref="R340">_xlfn.SWITCH(S340,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41" spans="1:18">
      <c r="A341" t="s">
        <v>1583</v>
      </c>
      <c r="B341">
        <v>4</v>
      </c>
      <c r="C341" s="2">
        <f>Wet_Wipes[[#This Row],[Желано количество]]</f>
        <v>4</v>
      </c>
      <c r="D341" s="28">
        <v>45930</v>
      </c>
      <c r="E341" t="s">
        <v>1285</v>
      </c>
      <c r="F341" s="30">
        <v>45898.926747685182</v>
      </c>
      <c r="G341" s="20"/>
      <c r="I341" t="s">
        <v>1325</v>
      </c>
      <c r="J341" s="28"/>
      <c r="L341" s="28"/>
      <c r="O341" s="2">
        <f>Wet_Wipes[[#This Row],[Цена за 1 бр. в BGN]]*Wet_Wipes[[#This Row],[Поръчано Количество]]</f>
        <v>0</v>
      </c>
      <c r="R341" t="str" cm="1">
        <f t="array" ref="R341">_xlfn.SWITCH(S341,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42" spans="1:18">
      <c r="A342" t="s">
        <v>1584</v>
      </c>
      <c r="B342">
        <v>2</v>
      </c>
      <c r="C342" s="2">
        <f>Wet_Wipes[[#This Row],[Желано количество]]</f>
        <v>2</v>
      </c>
      <c r="D342" s="28">
        <v>45930</v>
      </c>
      <c r="E342" t="s">
        <v>1285</v>
      </c>
      <c r="F342" s="30">
        <v>45898.927800925929</v>
      </c>
      <c r="G342" s="20" t="s">
        <v>1472</v>
      </c>
      <c r="H342" t="s">
        <v>22</v>
      </c>
      <c r="I342" t="s">
        <v>46</v>
      </c>
      <c r="J342" s="28">
        <v>45989</v>
      </c>
      <c r="L342" s="28"/>
      <c r="O342" s="2">
        <f>Wet_Wipes[[#This Row],[Цена за 1 бр. в BGN]]*Wet_Wipes[[#This Row],[Поръчано Количество]]</f>
        <v>0</v>
      </c>
      <c r="R342" t="str" cm="1">
        <f t="array" ref="R342">_xlfn.SWITCH(S342,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43" spans="1:18">
      <c r="A343" t="s">
        <v>1585</v>
      </c>
      <c r="B343">
        <v>3</v>
      </c>
      <c r="C343" s="2">
        <f>Wet_Wipes[[#This Row],[Желано количество]]</f>
        <v>3</v>
      </c>
      <c r="D343" s="28">
        <v>45930</v>
      </c>
      <c r="E343" t="s">
        <v>1285</v>
      </c>
      <c r="F343" s="30">
        <v>45898.928368055553</v>
      </c>
      <c r="G343" s="20" t="s">
        <v>1472</v>
      </c>
      <c r="H343" t="s">
        <v>22</v>
      </c>
      <c r="I343" t="s">
        <v>46</v>
      </c>
      <c r="J343" s="28">
        <v>45989</v>
      </c>
      <c r="L343" s="28"/>
      <c r="O343" s="2">
        <f>Wet_Wipes[[#This Row],[Цена за 1 бр. в BGN]]*Wet_Wipes[[#This Row],[Поръчано Количество]]</f>
        <v>0</v>
      </c>
      <c r="R343" t="str" cm="1">
        <f t="array" ref="R343">_xlfn.SWITCH(S343,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44" spans="1:18">
      <c r="A344" t="s">
        <v>1586</v>
      </c>
      <c r="B344">
        <v>2</v>
      </c>
      <c r="C344" s="2">
        <f>Wet_Wipes[[#This Row],[Желано количество]]</f>
        <v>2</v>
      </c>
      <c r="D344" s="28">
        <v>45930</v>
      </c>
      <c r="E344" t="s">
        <v>1182</v>
      </c>
      <c r="F344" s="30">
        <v>45898.930023148147</v>
      </c>
      <c r="G344" s="20" t="s">
        <v>1472</v>
      </c>
      <c r="H344" t="s">
        <v>22</v>
      </c>
      <c r="I344" t="s">
        <v>46</v>
      </c>
      <c r="J344" s="28">
        <v>45989</v>
      </c>
      <c r="L344" s="28"/>
      <c r="O344" s="2">
        <f>Wet_Wipes[[#This Row],[Цена за 1 бр. в BGN]]*Wet_Wipes[[#This Row],[Поръчано Количество]]</f>
        <v>0</v>
      </c>
      <c r="R344" t="str" cm="1">
        <f t="array" ref="R344">_xlfn.SWITCH(S344,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45" spans="1:18">
      <c r="A345" t="s">
        <v>1587</v>
      </c>
      <c r="B345">
        <v>3</v>
      </c>
      <c r="C345" s="2">
        <f>Wet_Wipes[[#This Row],[Желано количество]]</f>
        <v>3</v>
      </c>
      <c r="D345" s="28">
        <v>45930</v>
      </c>
      <c r="E345" t="s">
        <v>1182</v>
      </c>
      <c r="F345" s="30">
        <v>45898.932083333333</v>
      </c>
      <c r="G345" s="20"/>
      <c r="H345" t="s">
        <v>22</v>
      </c>
      <c r="I345" t="s">
        <v>1325</v>
      </c>
      <c r="J345" s="28"/>
      <c r="L345" s="28"/>
      <c r="O345" s="2">
        <f>Wet_Wipes[[#This Row],[Цена за 1 бр. в BGN]]*Wet_Wipes[[#This Row],[Поръчано Количество]]</f>
        <v>0</v>
      </c>
      <c r="R345" t="str" cm="1">
        <f t="array" ref="R345">_xlfn.SWITCH(S345,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46" spans="1:18">
      <c r="A346" t="s">
        <v>1588</v>
      </c>
      <c r="B346">
        <v>3</v>
      </c>
      <c r="C346" s="2">
        <f>Wet_Wipes[[#This Row],[Желано количество]]</f>
        <v>3</v>
      </c>
      <c r="D346" s="28">
        <v>45930</v>
      </c>
      <c r="E346" t="s">
        <v>1208</v>
      </c>
      <c r="F346" s="30">
        <v>45898.933634259258</v>
      </c>
      <c r="G346" s="20" t="s">
        <v>1394</v>
      </c>
      <c r="H346" t="s">
        <v>22</v>
      </c>
      <c r="I346" t="s">
        <v>104</v>
      </c>
      <c r="J346" s="28"/>
      <c r="L346" s="28">
        <v>45918</v>
      </c>
      <c r="N346">
        <v>124.86</v>
      </c>
      <c r="O346" s="2">
        <f>Wet_Wipes[[#This Row],[Цена за 1 бр. в BGN]]*Wet_Wipes[[#This Row],[Поръчано Количество]]</f>
        <v>374.58</v>
      </c>
      <c r="R346" t="str" cm="1">
        <f t="array" ref="R346">_xlfn.SWITCH(S346,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47" spans="1:18">
      <c r="A347" t="s">
        <v>1589</v>
      </c>
      <c r="B347">
        <v>2</v>
      </c>
      <c r="C347" s="2">
        <f>Wet_Wipes[[#This Row],[Желано количество]]</f>
        <v>2</v>
      </c>
      <c r="D347" s="28">
        <v>45930</v>
      </c>
      <c r="E347" t="s">
        <v>1208</v>
      </c>
      <c r="F347" s="30">
        <v>45898.93478009259</v>
      </c>
      <c r="G347" s="20" t="s">
        <v>1394</v>
      </c>
      <c r="H347" t="s">
        <v>22</v>
      </c>
      <c r="I347" t="s">
        <v>104</v>
      </c>
      <c r="J347" s="28"/>
      <c r="L347" s="28">
        <v>45918</v>
      </c>
      <c r="M347">
        <v>2</v>
      </c>
      <c r="N347">
        <v>611.53</v>
      </c>
      <c r="O347" s="2">
        <f>Wet_Wipes[[#This Row],[Цена за 1 бр. в BGN]]*Wet_Wipes[[#This Row],[Поръчано Количество]]</f>
        <v>1223.06</v>
      </c>
      <c r="R347" t="str" cm="1">
        <f t="array" ref="R347">_xlfn.SWITCH(S347,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48" spans="1:18">
      <c r="A348" t="s">
        <v>1590</v>
      </c>
      <c r="B348">
        <v>5</v>
      </c>
      <c r="C348" s="2">
        <f>Wet_Wipes[[#This Row],[Желано количество]]</f>
        <v>5</v>
      </c>
      <c r="D348" s="28">
        <v>45930</v>
      </c>
      <c r="E348" t="s">
        <v>1212</v>
      </c>
      <c r="F348" s="30">
        <v>45898.935613425929</v>
      </c>
      <c r="G348" s="20" t="s">
        <v>1591</v>
      </c>
      <c r="H348" t="s">
        <v>22</v>
      </c>
      <c r="I348" t="s">
        <v>24</v>
      </c>
      <c r="J348" s="28"/>
      <c r="L348" s="28"/>
      <c r="O348" s="2">
        <f>Wet_Wipes[[#This Row],[Цена за 1 бр. в BGN]]*Wet_Wipes[[#This Row],[Поръчано Количество]]</f>
        <v>0</v>
      </c>
      <c r="R348" t="str" cm="1">
        <f t="array" ref="R348">_xlfn.SWITCH(S348,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49" spans="1:18">
      <c r="A349" t="s">
        <v>1592</v>
      </c>
      <c r="B349">
        <v>1</v>
      </c>
      <c r="C349" s="2">
        <f>Wet_Wipes[[#This Row],[Желано количество]]</f>
        <v>1</v>
      </c>
      <c r="D349" s="28">
        <v>45930</v>
      </c>
      <c r="E349" t="s">
        <v>1212</v>
      </c>
      <c r="F349" s="30">
        <v>45898.937592592592</v>
      </c>
      <c r="G349" s="20" t="s">
        <v>1591</v>
      </c>
      <c r="H349" t="s">
        <v>22</v>
      </c>
      <c r="I349" t="s">
        <v>24</v>
      </c>
      <c r="J349" s="28"/>
      <c r="L349" s="28"/>
      <c r="O349" s="2">
        <f>Wet_Wipes[[#This Row],[Цена за 1 бр. в BGN]]*Wet_Wipes[[#This Row],[Поръчано Количество]]</f>
        <v>0</v>
      </c>
      <c r="R349" t="str" cm="1">
        <f t="array" ref="R349">_xlfn.SWITCH(S349,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50" spans="1:18">
      <c r="A350" t="s">
        <v>1491</v>
      </c>
      <c r="B350">
        <v>20</v>
      </c>
      <c r="C350" s="2">
        <f>Wet_Wipes[[#This Row],[Желано количество]]</f>
        <v>20</v>
      </c>
      <c r="D350" s="28">
        <v>45930</v>
      </c>
      <c r="E350" t="s">
        <v>1182</v>
      </c>
      <c r="F350" s="30">
        <v>45898.938506944447</v>
      </c>
      <c r="G350" s="20" t="s">
        <v>1591</v>
      </c>
      <c r="H350" t="s">
        <v>22</v>
      </c>
      <c r="I350" t="s">
        <v>24</v>
      </c>
      <c r="J350" s="28"/>
      <c r="L350" s="28"/>
      <c r="O350" s="2">
        <f>Wet_Wipes[[#This Row],[Цена за 1 бр. в BGN]]*Wet_Wipes[[#This Row],[Поръчано Количество]]</f>
        <v>0</v>
      </c>
      <c r="R350" t="str" cm="1">
        <f t="array" ref="R350">_xlfn.SWITCH(S350,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51" spans="1:18">
      <c r="A351" t="s">
        <v>1593</v>
      </c>
      <c r="B351">
        <v>3</v>
      </c>
      <c r="C351" s="2">
        <f>Wet_Wipes[[#This Row],[Желано количество]]</f>
        <v>3</v>
      </c>
      <c r="D351" s="28">
        <v>45930</v>
      </c>
      <c r="E351" t="s">
        <v>1285</v>
      </c>
      <c r="F351" s="30">
        <v>45898.939664351848</v>
      </c>
      <c r="G351" s="20" t="s">
        <v>1591</v>
      </c>
      <c r="H351" t="s">
        <v>22</v>
      </c>
      <c r="I351" t="s">
        <v>24</v>
      </c>
      <c r="J351" s="28"/>
      <c r="L351" s="28"/>
      <c r="O351" s="2">
        <f>Wet_Wipes[[#This Row],[Цена за 1 бр. в BGN]]*Wet_Wipes[[#This Row],[Поръчано Количество]]</f>
        <v>0</v>
      </c>
      <c r="R351" t="str" cm="1">
        <f t="array" ref="R351">_xlfn.SWITCH(S351,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52" spans="1:18">
      <c r="A352" t="s">
        <v>1594</v>
      </c>
      <c r="B352">
        <v>2</v>
      </c>
      <c r="C352" s="2">
        <f>Wet_Wipes[[#This Row],[Желано количество]]</f>
        <v>2</v>
      </c>
      <c r="D352" s="28">
        <v>45930</v>
      </c>
      <c r="E352" t="s">
        <v>1285</v>
      </c>
      <c r="F352" s="30">
        <v>45898.940011574072</v>
      </c>
      <c r="G352" s="20" t="s">
        <v>1591</v>
      </c>
      <c r="H352" t="s">
        <v>22</v>
      </c>
      <c r="I352" t="s">
        <v>24</v>
      </c>
      <c r="J352" s="28"/>
      <c r="L352" s="28"/>
      <c r="O352" s="2">
        <f>Wet_Wipes[[#This Row],[Цена за 1 бр. в BGN]]*Wet_Wipes[[#This Row],[Поръчано Количество]]</f>
        <v>0</v>
      </c>
      <c r="R352" t="str" cm="1">
        <f t="array" ref="R352">_xlfn.SWITCH(S352,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53" spans="1:18">
      <c r="A353" t="s">
        <v>1595</v>
      </c>
      <c r="B353">
        <v>2</v>
      </c>
      <c r="C353" s="2">
        <f>Wet_Wipes[[#This Row],[Желано количество]]</f>
        <v>2</v>
      </c>
      <c r="D353" s="28">
        <v>45930</v>
      </c>
      <c r="E353" t="s">
        <v>1285</v>
      </c>
      <c r="F353" s="30">
        <v>45898.940451388888</v>
      </c>
      <c r="G353" s="20" t="s">
        <v>1591</v>
      </c>
      <c r="H353" t="s">
        <v>22</v>
      </c>
      <c r="I353" t="s">
        <v>24</v>
      </c>
      <c r="J353" s="28"/>
      <c r="L353" s="28"/>
      <c r="O353" s="2">
        <f>Wet_Wipes[[#This Row],[Цена за 1 бр. в BGN]]*Wet_Wipes[[#This Row],[Поръчано Количество]]</f>
        <v>0</v>
      </c>
      <c r="R353" t="str" cm="1">
        <f t="array" ref="R353">_xlfn.SWITCH(S353,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54" spans="1:18">
      <c r="A354" t="s">
        <v>1596</v>
      </c>
      <c r="B354">
        <v>2</v>
      </c>
      <c r="C354" s="2">
        <f>Wet_Wipes[[#This Row],[Желано количество]]</f>
        <v>2</v>
      </c>
      <c r="D354" s="28">
        <v>45930</v>
      </c>
      <c r="E354" t="s">
        <v>1208</v>
      </c>
      <c r="F354" s="30">
        <v>45898.941712962966</v>
      </c>
      <c r="G354" s="20" t="s">
        <v>1591</v>
      </c>
      <c r="H354" t="s">
        <v>22</v>
      </c>
      <c r="I354" t="s">
        <v>24</v>
      </c>
      <c r="J354" s="28"/>
      <c r="L354" s="28"/>
      <c r="O354" s="2">
        <f>Wet_Wipes[[#This Row],[Цена за 1 бр. в BGN]]*Wet_Wipes[[#This Row],[Поръчано Количество]]</f>
        <v>0</v>
      </c>
      <c r="R354" t="str" cm="1">
        <f t="array" ref="R354">_xlfn.SWITCH(S354,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55" spans="1:18">
      <c r="A355" t="s">
        <v>1497</v>
      </c>
      <c r="B355">
        <v>2</v>
      </c>
      <c r="C355" s="2">
        <f>Wet_Wipes[[#This Row],[Желано количество]]</f>
        <v>2</v>
      </c>
      <c r="D355" s="28">
        <v>45930</v>
      </c>
      <c r="E355" t="s">
        <v>1212</v>
      </c>
      <c r="F355" s="30">
        <v>45898.94258101852</v>
      </c>
      <c r="G355" s="20" t="s">
        <v>1591</v>
      </c>
      <c r="H355" t="s">
        <v>22</v>
      </c>
      <c r="I355" t="s">
        <v>24</v>
      </c>
      <c r="J355" s="28"/>
      <c r="L355" s="28"/>
      <c r="O355" s="2">
        <f>Wet_Wipes[[#This Row],[Цена за 1 бр. в BGN]]*Wet_Wipes[[#This Row],[Поръчано Количество]]</f>
        <v>0</v>
      </c>
      <c r="R355" t="str" cm="1">
        <f t="array" ref="R355">_xlfn.SWITCH(S355,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56" spans="1:18">
      <c r="A356" t="s">
        <v>1597</v>
      </c>
      <c r="B356">
        <v>2</v>
      </c>
      <c r="C356" s="2">
        <f>Wet_Wipes[[#This Row],[Желано количество]]</f>
        <v>2</v>
      </c>
      <c r="D356" s="28">
        <v>45930</v>
      </c>
      <c r="E356" t="s">
        <v>1208</v>
      </c>
      <c r="F356" s="30">
        <v>45898.944386574076</v>
      </c>
      <c r="G356" s="20" t="s">
        <v>1472</v>
      </c>
      <c r="H356" t="s">
        <v>22</v>
      </c>
      <c r="I356" t="s">
        <v>46</v>
      </c>
      <c r="J356" s="28">
        <v>45989</v>
      </c>
      <c r="L356" s="28"/>
      <c r="N356">
        <v>4.3499999999999996</v>
      </c>
      <c r="O356" s="2">
        <f>Wet_Wipes[[#This Row],[Цена за 1 бр. в BGN]]*Wet_Wipes[[#This Row],[Поръчано Количество]]</f>
        <v>8.6999999999999993</v>
      </c>
      <c r="R356" t="str" cm="1">
        <f t="array" ref="R356">_xlfn.SWITCH(S356,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57" spans="1:18">
      <c r="A357" t="s">
        <v>1598</v>
      </c>
      <c r="B357">
        <v>2</v>
      </c>
      <c r="C357" s="2">
        <f>Wet_Wipes[[#This Row],[Желано количество]]</f>
        <v>2</v>
      </c>
      <c r="D357" s="28">
        <v>45930</v>
      </c>
      <c r="E357" t="s">
        <v>1208</v>
      </c>
      <c r="F357" s="30">
        <v>45898.945347222223</v>
      </c>
      <c r="G357" s="20" t="s">
        <v>1472</v>
      </c>
      <c r="H357" t="s">
        <v>22</v>
      </c>
      <c r="I357" t="s">
        <v>46</v>
      </c>
      <c r="J357" s="28">
        <v>45989</v>
      </c>
      <c r="L357" s="28"/>
      <c r="N357">
        <v>3.35</v>
      </c>
      <c r="O357" s="2">
        <f>Wet_Wipes[[#This Row],[Цена за 1 бр. в BGN]]*Wet_Wipes[[#This Row],[Поръчано Количество]]</f>
        <v>6.7</v>
      </c>
      <c r="R357" t="str" cm="1">
        <f t="array" ref="R357">_xlfn.SWITCH(S357,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58" spans="1:18">
      <c r="A358" t="s">
        <v>1599</v>
      </c>
      <c r="B358">
        <v>2</v>
      </c>
      <c r="C358" s="2">
        <f>Wet_Wipes[[#This Row],[Желано количество]]</f>
        <v>2</v>
      </c>
      <c r="D358" s="28">
        <v>45930</v>
      </c>
      <c r="E358" t="s">
        <v>1208</v>
      </c>
      <c r="F358" s="30">
        <v>45898.946712962963</v>
      </c>
      <c r="G358" s="20" t="s">
        <v>1472</v>
      </c>
      <c r="H358" t="s">
        <v>22</v>
      </c>
      <c r="I358" t="s">
        <v>46</v>
      </c>
      <c r="J358" s="28">
        <v>45989</v>
      </c>
      <c r="L358" s="28"/>
      <c r="N358">
        <v>3.35</v>
      </c>
      <c r="O358" s="2">
        <f>Wet_Wipes[[#This Row],[Цена за 1 бр. в BGN]]*Wet_Wipes[[#This Row],[Поръчано Количество]]</f>
        <v>6.7</v>
      </c>
      <c r="R358" t="str" cm="1">
        <f t="array" ref="R358">_xlfn.SWITCH(S358,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59" spans="1:18">
      <c r="A359" t="s">
        <v>1600</v>
      </c>
      <c r="B359">
        <v>10</v>
      </c>
      <c r="C359" s="2">
        <f>Wet_Wipes[[#This Row],[Желано количество]]</f>
        <v>10</v>
      </c>
      <c r="D359" s="28">
        <v>45910</v>
      </c>
      <c r="E359" t="s">
        <v>1208</v>
      </c>
      <c r="F359" s="30">
        <v>45909.905115740738</v>
      </c>
      <c r="G359" s="62"/>
      <c r="H359" t="s">
        <v>22</v>
      </c>
      <c r="J359" s="28"/>
      <c r="L359" s="28"/>
      <c r="O359" s="2">
        <f>Wet_Wipes[[#This Row],[Цена за 1 бр. в BGN]]*Wet_Wipes[[#This Row],[Поръчано Количество]]</f>
        <v>0</v>
      </c>
      <c r="R359" t="str" cm="1">
        <f t="array" ref="R359">_xlfn.SWITCH(S359,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60" spans="1:18">
      <c r="A360" t="s">
        <v>1601</v>
      </c>
      <c r="B360">
        <v>2</v>
      </c>
      <c r="C360" s="2">
        <f>Wet_Wipes[[#This Row],[Желано количество]]</f>
        <v>2</v>
      </c>
      <c r="D360" s="28">
        <v>45930</v>
      </c>
      <c r="E360" t="s">
        <v>1186</v>
      </c>
      <c r="F360" s="30">
        <v>45909.908217592594</v>
      </c>
      <c r="G360" s="62" t="s">
        <v>1602</v>
      </c>
      <c r="H360" t="s">
        <v>22</v>
      </c>
      <c r="I360" t="s">
        <v>24</v>
      </c>
      <c r="J360" s="28">
        <v>46028</v>
      </c>
      <c r="L360" s="28"/>
      <c r="N360">
        <v>51.09</v>
      </c>
      <c r="O360" s="2">
        <f>Wet_Wipes[[#This Row],[Цена за 1 бр. в BGN]]*Wet_Wipes[[#This Row],[Поръчано Количество]]</f>
        <v>102.18</v>
      </c>
      <c r="R360" t="str" cm="1">
        <f t="array" ref="R360">_xlfn.SWITCH(S360,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61" spans="1:18">
      <c r="A361" t="s">
        <v>1603</v>
      </c>
      <c r="B361">
        <v>3</v>
      </c>
      <c r="C361" s="2">
        <f>Wet_Wipes[[#This Row],[Желано количество]]</f>
        <v>3</v>
      </c>
      <c r="D361" s="28">
        <v>45930</v>
      </c>
      <c r="E361" t="s">
        <v>1188</v>
      </c>
      <c r="F361" s="30">
        <v>45911.071527777778</v>
      </c>
      <c r="G361" s="62" t="s">
        <v>1602</v>
      </c>
      <c r="H361" t="s">
        <v>135</v>
      </c>
      <c r="I361" t="s">
        <v>24</v>
      </c>
      <c r="J361" s="28"/>
      <c r="L361" s="28"/>
      <c r="O361" s="2">
        <f>Wet_Wipes[[#This Row],[Цена за 1 бр. в BGN]]*Wet_Wipes[[#This Row],[Поръчано Количество]]</f>
        <v>0</v>
      </c>
      <c r="R361" t="str" cm="1">
        <f t="array" ref="R361">_xlfn.SWITCH(S361,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62" spans="1:18">
      <c r="A362" t="s">
        <v>1604</v>
      </c>
      <c r="B362">
        <v>5</v>
      </c>
      <c r="C362" s="2">
        <f>Wet_Wipes[[#This Row],[Желано количество]]</f>
        <v>5</v>
      </c>
      <c r="D362" s="28">
        <v>45930</v>
      </c>
      <c r="E362" t="s">
        <v>1208</v>
      </c>
      <c r="F362" s="30">
        <v>45911.072743055556</v>
      </c>
      <c r="G362" s="62"/>
      <c r="I362" t="s">
        <v>1225</v>
      </c>
      <c r="J362" s="28"/>
      <c r="L362" s="28"/>
      <c r="O362" s="2">
        <f>Wet_Wipes[[#This Row],[Цена за 1 бр. в BGN]]*Wet_Wipes[[#This Row],[Поръчано Количество]]</f>
        <v>0</v>
      </c>
      <c r="R362" t="str" cm="1">
        <f t="array" ref="R362">_xlfn.SWITCH(S362,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63" spans="1:18">
      <c r="A363" t="s">
        <v>1605</v>
      </c>
      <c r="B363">
        <v>2</v>
      </c>
      <c r="C363" s="2">
        <f>Wet_Wipes[[#This Row],[Желано количество]]</f>
        <v>2</v>
      </c>
      <c r="D363" s="28">
        <v>45930</v>
      </c>
      <c r="E363" t="s">
        <v>1188</v>
      </c>
      <c r="F363" s="30">
        <v>45911.080995370372</v>
      </c>
      <c r="G363" s="62"/>
      <c r="I363" t="s">
        <v>1325</v>
      </c>
      <c r="J363" s="28"/>
      <c r="L363" s="28"/>
      <c r="O363" s="2">
        <f>Wet_Wipes[[#This Row],[Цена за 1 бр. в BGN]]*Wet_Wipes[[#This Row],[Поръчано Количество]]</f>
        <v>0</v>
      </c>
      <c r="R363" t="str" cm="1">
        <f t="array" ref="R363">_xlfn.SWITCH(S363,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64" spans="1:18">
      <c r="A364" t="s">
        <v>1606</v>
      </c>
      <c r="B364">
        <v>4</v>
      </c>
      <c r="C364" s="2">
        <f>Wet_Wipes[[#This Row],[Желано количество]]</f>
        <v>4</v>
      </c>
      <c r="D364" s="28">
        <v>45912</v>
      </c>
      <c r="E364" t="s">
        <v>1182</v>
      </c>
      <c r="F364" s="30">
        <v>45911.860497685186</v>
      </c>
      <c r="G364" s="62" t="s">
        <v>1607</v>
      </c>
      <c r="H364" t="s">
        <v>22</v>
      </c>
      <c r="I364" t="s">
        <v>1519</v>
      </c>
      <c r="J364" s="28">
        <v>45982</v>
      </c>
      <c r="L364" s="28">
        <v>45966</v>
      </c>
      <c r="M364">
        <v>4</v>
      </c>
      <c r="N364">
        <v>238.61</v>
      </c>
      <c r="O364" s="2">
        <f>Wet_Wipes[[#This Row],[Цена за 1 бр. в BGN]]*Wet_Wipes[[#This Row],[Поръчано Количество]]</f>
        <v>954.44</v>
      </c>
      <c r="P364" t="s">
        <v>1608</v>
      </c>
      <c r="R364" t="str" cm="1">
        <f t="array" ref="R364">_xlfn.SWITCH(S364,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65" spans="1:18">
      <c r="A365" t="s">
        <v>1609</v>
      </c>
      <c r="B365">
        <v>5</v>
      </c>
      <c r="C365" s="2">
        <f>Wet_Wipes[[#This Row],[Желано количество]]</f>
        <v>5</v>
      </c>
      <c r="D365" s="28">
        <v>45930</v>
      </c>
      <c r="E365" t="s">
        <v>1188</v>
      </c>
      <c r="F365" s="30">
        <v>45911.920613425929</v>
      </c>
      <c r="G365" s="62" t="s">
        <v>1602</v>
      </c>
      <c r="H365" t="s">
        <v>135</v>
      </c>
      <c r="I365" t="s">
        <v>24</v>
      </c>
      <c r="J365" s="28"/>
      <c r="L365" s="28"/>
      <c r="O365" s="2">
        <f>Wet_Wipes[[#This Row],[Цена за 1 бр. в BGN]]*Wet_Wipes[[#This Row],[Поръчано Количество]]</f>
        <v>0</v>
      </c>
      <c r="R365" t="str" cm="1">
        <f t="array" ref="R365">_xlfn.SWITCH(S365,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66" spans="1:18">
      <c r="A366" t="s">
        <v>1610</v>
      </c>
      <c r="B366">
        <v>5</v>
      </c>
      <c r="C366" s="2">
        <f>Wet_Wipes[[#This Row],[Желано количество]]</f>
        <v>5</v>
      </c>
      <c r="D366" s="28">
        <v>45930</v>
      </c>
      <c r="E366" t="s">
        <v>1188</v>
      </c>
      <c r="F366" s="30">
        <v>45911.921203703707</v>
      </c>
      <c r="G366" s="62" t="s">
        <v>1602</v>
      </c>
      <c r="H366" t="s">
        <v>135</v>
      </c>
      <c r="I366" t="s">
        <v>24</v>
      </c>
      <c r="J366" s="28"/>
      <c r="L366" s="28"/>
      <c r="O366" s="2">
        <f>Wet_Wipes[[#This Row],[Цена за 1 бр. в BGN]]*Wet_Wipes[[#This Row],[Поръчано Количество]]</f>
        <v>0</v>
      </c>
      <c r="R366" t="str" cm="1">
        <f t="array" ref="R366">_xlfn.SWITCH(S366,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67" spans="1:18">
      <c r="A367" t="s">
        <v>1611</v>
      </c>
      <c r="B367">
        <v>3</v>
      </c>
      <c r="C367" s="2">
        <f>Wet_Wipes[[#This Row],[Желано количество]]</f>
        <v>3</v>
      </c>
      <c r="D367" s="28">
        <v>45961</v>
      </c>
      <c r="E367" t="s">
        <v>1208</v>
      </c>
      <c r="F367" s="30">
        <v>45916.29824074074</v>
      </c>
      <c r="G367" s="62" t="s">
        <v>1602</v>
      </c>
      <c r="H367" t="s">
        <v>135</v>
      </c>
      <c r="I367" t="s">
        <v>24</v>
      </c>
      <c r="J367" s="28"/>
      <c r="L367" s="28"/>
      <c r="O367" s="2">
        <f>Wet_Wipes[[#This Row],[Цена за 1 бр. в BGN]]*Wet_Wipes[[#This Row],[Поръчано Количество]]</f>
        <v>0</v>
      </c>
      <c r="R367" t="str" cm="1">
        <f t="array" ref="R367">_xlfn.SWITCH(S367,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68" spans="1:18">
      <c r="A368" t="s">
        <v>1612</v>
      </c>
      <c r="B368">
        <v>2</v>
      </c>
      <c r="C368" s="2">
        <f>Wet_Wipes[[#This Row],[Желано количество]]</f>
        <v>2</v>
      </c>
      <c r="D368" s="28">
        <v>45930</v>
      </c>
      <c r="E368" t="s">
        <v>1186</v>
      </c>
      <c r="F368" s="30">
        <v>45917.458460648151</v>
      </c>
      <c r="G368" s="62"/>
      <c r="I368" t="s">
        <v>48</v>
      </c>
      <c r="J368" s="28"/>
      <c r="L368" s="28"/>
      <c r="O368" s="2">
        <f>Wet_Wipes[[#This Row],[Цена за 1 бр. в BGN]]*Wet_Wipes[[#This Row],[Поръчано Количество]]</f>
        <v>0</v>
      </c>
      <c r="R368" t="str" cm="1">
        <f t="array" ref="R368">_xlfn.SWITCH(S368,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69" spans="1:19">
      <c r="A369" t="s">
        <v>1613</v>
      </c>
      <c r="B369">
        <v>30</v>
      </c>
      <c r="C369" s="2">
        <f>Wet_Wipes[[#This Row],[Желано количество]]</f>
        <v>30</v>
      </c>
      <c r="D369" s="28">
        <v>45930</v>
      </c>
      <c r="E369" t="s">
        <v>1188</v>
      </c>
      <c r="F369" s="30">
        <v>45918.197002314817</v>
      </c>
      <c r="G369" s="62" t="s">
        <v>1602</v>
      </c>
      <c r="H369" t="s">
        <v>22</v>
      </c>
      <c r="I369" t="s">
        <v>24</v>
      </c>
      <c r="J369" s="28">
        <v>46028</v>
      </c>
      <c r="L369" s="28"/>
      <c r="N369">
        <v>12.77</v>
      </c>
      <c r="O369" s="2">
        <f>Wet_Wipes[[#This Row],[Цена за 1 бр. в BGN]]*Wet_Wipes[[#This Row],[Поръчано Количество]]</f>
        <v>383.09999999999997</v>
      </c>
      <c r="R369" t="str" cm="1">
        <f t="array" ref="R369">_xlfn.SWITCH(S369,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70" spans="1:19">
      <c r="A370" s="1" t="s">
        <v>1614</v>
      </c>
      <c r="B370">
        <v>3</v>
      </c>
      <c r="C370" s="2">
        <f>Wet_Wipes[[#This Row],[Желано количество]]</f>
        <v>3</v>
      </c>
      <c r="D370" s="28">
        <v>45946</v>
      </c>
      <c r="E370" t="s">
        <v>1615</v>
      </c>
      <c r="F370" s="30">
        <v>45932</v>
      </c>
      <c r="G370" s="62" t="s">
        <v>1616</v>
      </c>
      <c r="H370" t="s">
        <v>22</v>
      </c>
      <c r="I370" t="s">
        <v>667</v>
      </c>
      <c r="J370" s="28"/>
      <c r="L370" s="28"/>
      <c r="O370" s="2">
        <f>Wet_Wipes[[#This Row],[Цена за 1 бр. в BGN]]*Wet_Wipes[[#This Row],[Поръчано Количество]]</f>
        <v>0</v>
      </c>
      <c r="R370" t="str" cm="1">
        <f t="array" ref="R370">_xlfn.SWITCH(S370,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71" spans="1:19">
      <c r="A371" t="s">
        <v>1617</v>
      </c>
      <c r="B371">
        <v>36</v>
      </c>
      <c r="C371" s="2">
        <f>Wet_Wipes[[#This Row],[Желано количество]]</f>
        <v>36</v>
      </c>
      <c r="D371" s="28">
        <v>45960</v>
      </c>
      <c r="E371" t="s">
        <v>1182</v>
      </c>
      <c r="F371" s="30">
        <v>45933</v>
      </c>
      <c r="G371" s="62"/>
      <c r="H371" t="s">
        <v>22</v>
      </c>
      <c r="I371" t="s">
        <v>1618</v>
      </c>
      <c r="J371" s="28">
        <v>45968</v>
      </c>
      <c r="L371" s="28"/>
      <c r="O371" s="2">
        <f>Wet_Wipes[[#This Row],[Цена за 1 бр. в BGN]]*Wet_Wipes[[#This Row],[Поръчано Количество]]</f>
        <v>0</v>
      </c>
      <c r="R371" t="str" cm="1">
        <f t="array" ref="R371">_xlfn.SWITCH(S371,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72" spans="1:19">
      <c r="A372" t="s">
        <v>1619</v>
      </c>
      <c r="B372">
        <v>2</v>
      </c>
      <c r="C372" s="2">
        <f>Wet_Wipes[[#This Row],[Желано количество]]</f>
        <v>2</v>
      </c>
      <c r="D372" s="28">
        <v>45954</v>
      </c>
      <c r="E372" t="s">
        <v>1285</v>
      </c>
      <c r="F372" s="30">
        <v>45933</v>
      </c>
      <c r="G372" s="62" t="s">
        <v>1620</v>
      </c>
      <c r="H372" t="s">
        <v>22</v>
      </c>
      <c r="I372" t="s">
        <v>1325</v>
      </c>
      <c r="J372" s="28">
        <v>45982</v>
      </c>
      <c r="L372" s="28"/>
      <c r="O372" s="2">
        <f>Wet_Wipes[[#This Row],[Цена за 1 бр. в BGN]]*Wet_Wipes[[#This Row],[Поръчано Количество]]</f>
        <v>0</v>
      </c>
      <c r="R372" t="str" cm="1">
        <f t="array" ref="R372">_xlfn.SWITCH(S372,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73" spans="1:19">
      <c r="A373" t="s">
        <v>1621</v>
      </c>
      <c r="B373">
        <v>20</v>
      </c>
      <c r="C373" s="2">
        <f>Wet_Wipes[[#This Row],[Желано количество]]</f>
        <v>20</v>
      </c>
      <c r="D373" s="28">
        <v>45991</v>
      </c>
      <c r="E373" t="s">
        <v>1212</v>
      </c>
      <c r="F373" s="30">
        <v>45953.184166666666</v>
      </c>
      <c r="G373" s="62"/>
      <c r="I373" t="s">
        <v>104</v>
      </c>
      <c r="J373" s="28"/>
      <c r="L373" s="28"/>
      <c r="O373" s="2">
        <f>Wet_Wipes[[#This Row],[Цена за 1 бр. в BGN]]*Wet_Wipes[[#This Row],[Поръчано Количество]]</f>
        <v>0</v>
      </c>
      <c r="R373" t="str" cm="1">
        <f t="array" ref="R373">_xlfn.SWITCH(S373,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74" spans="1:19">
      <c r="A374" t="s">
        <v>1622</v>
      </c>
      <c r="B374">
        <v>20</v>
      </c>
      <c r="C374" s="2">
        <v>0</v>
      </c>
      <c r="D374" s="28">
        <v>45970</v>
      </c>
      <c r="E374" t="s">
        <v>1188</v>
      </c>
      <c r="F374" s="30">
        <v>45953.184988425928</v>
      </c>
      <c r="G374" s="62" t="s">
        <v>1623</v>
      </c>
      <c r="H374" t="s">
        <v>780</v>
      </c>
      <c r="I374" t="s">
        <v>883</v>
      </c>
      <c r="J374" s="28"/>
      <c r="L374" s="28"/>
      <c r="O374" s="2">
        <f>Wet_Wipes[[#This Row],[Цена за 1 бр. в BGN]]*Wet_Wipes[[#This Row],[Поръчано Количество]]</f>
        <v>0</v>
      </c>
      <c r="R374" t="str" cm="1">
        <f t="array" ref="R374">_xlfn.SWITCH(S374,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75" spans="1:19">
      <c r="A375" t="s">
        <v>1624</v>
      </c>
      <c r="B375">
        <v>1</v>
      </c>
      <c r="C375" s="2">
        <f>Wet_Wipes[[#This Row],[Желано количество]]</f>
        <v>1</v>
      </c>
      <c r="D375" s="28">
        <v>46022</v>
      </c>
      <c r="E375" t="s">
        <v>1188</v>
      </c>
      <c r="F375" s="30">
        <v>45953.185844907406</v>
      </c>
      <c r="G375" s="62"/>
      <c r="I375" t="s">
        <v>667</v>
      </c>
      <c r="J375" s="28"/>
      <c r="L375" s="28"/>
      <c r="O375" s="2">
        <f>Wet_Wipes[[#This Row],[Цена за 1 бр. в BGN]]*Wet_Wipes[[#This Row],[Поръчано Количество]]</f>
        <v>0</v>
      </c>
      <c r="R375" t="str" cm="1">
        <f t="array" ref="R375">_xlfn.SWITCH(S375,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76" spans="1:19">
      <c r="A376" t="s">
        <v>1625</v>
      </c>
      <c r="B376">
        <v>10</v>
      </c>
      <c r="C376" s="2">
        <f>Wet_Wipes[[#This Row],[Желано количество]]</f>
        <v>10</v>
      </c>
      <c r="D376" s="28">
        <v>45970</v>
      </c>
      <c r="E376" t="s">
        <v>1212</v>
      </c>
      <c r="F376" s="30">
        <v>45953.190648148149</v>
      </c>
      <c r="G376" s="62"/>
      <c r="I376" t="s">
        <v>48</v>
      </c>
      <c r="J376" s="28"/>
      <c r="L376" s="28"/>
      <c r="O376" s="2">
        <f>Wet_Wipes[[#This Row],[Цена за 1 бр. в BGN]]*Wet_Wipes[[#This Row],[Поръчано Количество]]</f>
        <v>0</v>
      </c>
      <c r="R376" t="str" cm="1">
        <f t="array" ref="R376">_xlfn.SWITCH(S376,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77" spans="1:19">
      <c r="A377" t="s">
        <v>1626</v>
      </c>
      <c r="B377">
        <v>3</v>
      </c>
      <c r="C377" s="2">
        <f>Wet_Wipes[[#This Row],[Желано количество]]</f>
        <v>3</v>
      </c>
      <c r="D377" s="28">
        <v>45991</v>
      </c>
      <c r="E377" t="s">
        <v>1186</v>
      </c>
      <c r="F377" s="30">
        <v>45953.19427083333</v>
      </c>
      <c r="G377" s="62" t="s">
        <v>1602</v>
      </c>
      <c r="H377" t="s">
        <v>135</v>
      </c>
      <c r="I377" t="s">
        <v>24</v>
      </c>
      <c r="J377" s="28"/>
      <c r="L377" s="28"/>
      <c r="O377" s="2">
        <f>Wet_Wipes[[#This Row],[Цена за 1 бр. в BGN]]*Wet_Wipes[[#This Row],[Поръчано Количество]]</f>
        <v>0</v>
      </c>
      <c r="R377" t="str" cm="1">
        <f t="array" ref="R377">_xlfn.SWITCH(S377,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78" spans="1:19">
      <c r="A378" t="s">
        <v>1627</v>
      </c>
      <c r="B378">
        <v>3</v>
      </c>
      <c r="C378" s="2">
        <f>Wet_Wipes[[#This Row],[Желано количество]]</f>
        <v>3</v>
      </c>
      <c r="D378" s="28">
        <v>45991</v>
      </c>
      <c r="E378" t="s">
        <v>1188</v>
      </c>
      <c r="F378" s="30">
        <v>45953.196319444447</v>
      </c>
      <c r="G378" s="62" t="s">
        <v>1602</v>
      </c>
      <c r="H378" t="s">
        <v>22</v>
      </c>
      <c r="I378" t="s">
        <v>24</v>
      </c>
      <c r="J378" s="28">
        <v>46028</v>
      </c>
      <c r="L378" s="28"/>
      <c r="N378">
        <v>240.37</v>
      </c>
      <c r="O378" s="2">
        <f>Wet_Wipes[[#This Row],[Цена за 1 бр. в BGN]]*Wet_Wipes[[#This Row],[Поръчано Количество]]</f>
        <v>721.11</v>
      </c>
      <c r="R378" t="str" cm="1">
        <f t="array" ref="R378">_xlfn.SWITCH(S378,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79" spans="1:19">
      <c r="A379" t="s">
        <v>1628</v>
      </c>
      <c r="B379">
        <v>3</v>
      </c>
      <c r="C379" s="2">
        <f>Wet_Wipes[[#This Row],[Желано количество]]</f>
        <v>3</v>
      </c>
      <c r="D379" s="28">
        <v>45991</v>
      </c>
      <c r="E379" t="s">
        <v>1188</v>
      </c>
      <c r="F379" s="30">
        <v>45953.196909722225</v>
      </c>
      <c r="G379" s="62" t="s">
        <v>1602</v>
      </c>
      <c r="H379" t="s">
        <v>22</v>
      </c>
      <c r="I379" t="s">
        <v>24</v>
      </c>
      <c r="J379" s="28">
        <v>46028</v>
      </c>
      <c r="L379" s="28"/>
      <c r="N379">
        <v>384.1</v>
      </c>
      <c r="O379" s="2">
        <f>Wet_Wipes[[#This Row],[Цена за 1 бр. в BGN]]*Wet_Wipes[[#This Row],[Поръчано Количество]]</f>
        <v>1152.3000000000002</v>
      </c>
      <c r="R379" t="str" cm="1">
        <f t="array" ref="R379">_xlfn.SWITCH(S379,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80" spans="1:19">
      <c r="A380" t="s">
        <v>1629</v>
      </c>
      <c r="B380">
        <v>10</v>
      </c>
      <c r="C380" s="2">
        <f>Wet_Wipes[[#This Row],[Желано количество]]</f>
        <v>10</v>
      </c>
      <c r="D380" s="28">
        <v>45991</v>
      </c>
      <c r="E380" t="s">
        <v>1188</v>
      </c>
      <c r="F380" s="30">
        <v>45953.197743055556</v>
      </c>
      <c r="G380" s="62" t="s">
        <v>1630</v>
      </c>
      <c r="H380" t="s">
        <v>235</v>
      </c>
      <c r="I380" t="s">
        <v>46</v>
      </c>
      <c r="J380" s="28">
        <v>46066</v>
      </c>
      <c r="L380" s="28"/>
      <c r="N380">
        <f>123.3*1.95583</f>
        <v>241.15383899999998</v>
      </c>
      <c r="O380" s="2">
        <f>Wet_Wipes[[#This Row],[Цена за 1 бр. в BGN]]*Wet_Wipes[[#This Row],[Поръчано Количество]]</f>
        <v>2411.5383899999997</v>
      </c>
      <c r="R380" t="str" cm="1">
        <f t="array" ref="R380">_xlfn.SWITCH(S380,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380" s="6" t="s">
        <v>1631</v>
      </c>
    </row>
    <row r="381" spans="1:19">
      <c r="A381" t="s">
        <v>1632</v>
      </c>
      <c r="B381">
        <v>4</v>
      </c>
      <c r="C381" s="2">
        <f>Wet_Wipes[[#This Row],[Желано количество]]</f>
        <v>4</v>
      </c>
      <c r="D381" s="28">
        <v>45991</v>
      </c>
      <c r="E381" t="s">
        <v>1188</v>
      </c>
      <c r="F381" s="30">
        <v>45953.198229166665</v>
      </c>
      <c r="G381" s="62" t="s">
        <v>1630</v>
      </c>
      <c r="H381" t="s">
        <v>235</v>
      </c>
      <c r="I381" t="s">
        <v>46</v>
      </c>
      <c r="J381" s="28">
        <v>46066</v>
      </c>
      <c r="L381" s="28"/>
      <c r="N381">
        <f>88*1.95583</f>
        <v>172.11303999999998</v>
      </c>
      <c r="O381" s="2">
        <f>Wet_Wipes[[#This Row],[Цена за 1 бр. в BGN]]*Wet_Wipes[[#This Row],[Поръчано Количество]]</f>
        <v>688.45215999999994</v>
      </c>
      <c r="R381" t="str" cm="1">
        <f t="array" ref="R381">_xlfn.SWITCH(S381,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381" s="6" t="s">
        <v>1631</v>
      </c>
    </row>
    <row r="382" spans="1:19">
      <c r="A382" t="s">
        <v>1633</v>
      </c>
      <c r="B382">
        <v>10</v>
      </c>
      <c r="C382" s="2">
        <f>Wet_Wipes[[#This Row],[Желано количество]]</f>
        <v>10</v>
      </c>
      <c r="D382" s="28">
        <v>45991</v>
      </c>
      <c r="E382" t="s">
        <v>1188</v>
      </c>
      <c r="F382" s="30">
        <v>45953.199074074073</v>
      </c>
      <c r="G382" s="62"/>
      <c r="I382" t="s">
        <v>1200</v>
      </c>
      <c r="J382" s="28"/>
      <c r="L382" s="28"/>
      <c r="O382" s="2">
        <f>Wet_Wipes[[#This Row],[Цена за 1 бр. в BGN]]*Wet_Wipes[[#This Row],[Поръчано Количество]]</f>
        <v>0</v>
      </c>
      <c r="R382" t="str" cm="1">
        <f t="array" ref="R382">_xlfn.SWITCH(S382,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83" spans="1:19">
      <c r="A383" t="s">
        <v>1634</v>
      </c>
      <c r="B383">
        <v>10</v>
      </c>
      <c r="C383" s="2">
        <f>Wet_Wipes[[#This Row],[Желано количество]]</f>
        <v>10</v>
      </c>
      <c r="D383" s="28">
        <v>45991</v>
      </c>
      <c r="E383" t="s">
        <v>1188</v>
      </c>
      <c r="F383" s="30">
        <v>45953.199444444443</v>
      </c>
      <c r="G383" s="62"/>
      <c r="I383" t="s">
        <v>1200</v>
      </c>
      <c r="J383" s="28"/>
      <c r="L383" s="28"/>
      <c r="O383" s="2">
        <f>Wet_Wipes[[#This Row],[Цена за 1 бр. в BGN]]*Wet_Wipes[[#This Row],[Поръчано Количество]]</f>
        <v>0</v>
      </c>
      <c r="R383" t="str" cm="1">
        <f t="array" ref="R383">_xlfn.SWITCH(S383,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84" spans="1:19">
      <c r="A384" t="s">
        <v>1635</v>
      </c>
      <c r="B384">
        <v>50</v>
      </c>
      <c r="C384" s="2">
        <f>Wet_Wipes[[#This Row],[Желано количество]]</f>
        <v>50</v>
      </c>
      <c r="D384" s="28">
        <v>45991</v>
      </c>
      <c r="E384" t="s">
        <v>1188</v>
      </c>
      <c r="F384" s="30">
        <v>45953.200057870374</v>
      </c>
      <c r="G384" s="62"/>
      <c r="I384" t="s">
        <v>1200</v>
      </c>
      <c r="J384" s="28"/>
      <c r="L384" s="28"/>
      <c r="O384" s="2">
        <f>Wet_Wipes[[#This Row],[Цена за 1 бр. в BGN]]*Wet_Wipes[[#This Row],[Поръчано Количество]]</f>
        <v>0</v>
      </c>
      <c r="R384" t="str" cm="1">
        <f t="array" ref="R384">_xlfn.SWITCH(S384,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85" spans="1:19">
      <c r="A385" t="s">
        <v>1636</v>
      </c>
      <c r="B385">
        <v>100</v>
      </c>
      <c r="C385" s="2">
        <f>Wet_Wipes[[#This Row],[Желано количество]]</f>
        <v>100</v>
      </c>
      <c r="D385" s="28">
        <v>45991</v>
      </c>
      <c r="E385" t="s">
        <v>1212</v>
      </c>
      <c r="F385" s="30">
        <v>45953.219814814816</v>
      </c>
      <c r="G385" s="38">
        <v>197470</v>
      </c>
      <c r="H385" t="s">
        <v>22</v>
      </c>
      <c r="I385" t="s">
        <v>58</v>
      </c>
      <c r="J385" s="28">
        <v>45972</v>
      </c>
      <c r="L385" s="28">
        <v>45972</v>
      </c>
      <c r="O385" s="2">
        <f>Wet_Wipes[[#This Row],[Цена за 1 бр. в BGN]]*Wet_Wipes[[#This Row],[Поръчано Количество]]</f>
        <v>0</v>
      </c>
      <c r="R385" t="str" cm="1">
        <f t="array" ref="R385">_xlfn.SWITCH(S385,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86" spans="1:19">
      <c r="A386" t="s">
        <v>1637</v>
      </c>
      <c r="B386">
        <v>200</v>
      </c>
      <c r="C386" s="2">
        <f>Wet_Wipes[[#This Row],[Желано количество]]</f>
        <v>200</v>
      </c>
      <c r="D386" s="28">
        <v>45991</v>
      </c>
      <c r="E386" t="s">
        <v>1212</v>
      </c>
      <c r="F386" s="30">
        <v>45953.220219907409</v>
      </c>
      <c r="G386" s="38">
        <v>197470</v>
      </c>
      <c r="H386" t="s">
        <v>22</v>
      </c>
      <c r="I386" t="s">
        <v>58</v>
      </c>
      <c r="J386" s="28">
        <v>45972</v>
      </c>
      <c r="L386" s="28">
        <v>45972</v>
      </c>
      <c r="O386" s="2">
        <f>Wet_Wipes[[#This Row],[Цена за 1 бр. в BGN]]*Wet_Wipes[[#This Row],[Поръчано Количество]]</f>
        <v>0</v>
      </c>
      <c r="R386" t="str" cm="1">
        <f t="array" ref="R386">_xlfn.SWITCH(S386,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87" spans="1:19">
      <c r="A387" t="s">
        <v>1638</v>
      </c>
      <c r="B387">
        <v>50</v>
      </c>
      <c r="C387" s="2">
        <f>Wet_Wipes[[#This Row],[Желано количество]]</f>
        <v>50</v>
      </c>
      <c r="D387" s="28">
        <v>45991</v>
      </c>
      <c r="E387" t="s">
        <v>1212</v>
      </c>
      <c r="F387" s="30">
        <v>45953.220613425925</v>
      </c>
      <c r="G387" s="38">
        <v>197470</v>
      </c>
      <c r="H387" t="s">
        <v>22</v>
      </c>
      <c r="I387" t="s">
        <v>58</v>
      </c>
      <c r="J387" s="28">
        <v>45972</v>
      </c>
      <c r="L387" s="28">
        <v>45972</v>
      </c>
      <c r="O387" s="2">
        <f>Wet_Wipes[[#This Row],[Цена за 1 бр. в BGN]]*Wet_Wipes[[#This Row],[Поръчано Количество]]</f>
        <v>0</v>
      </c>
      <c r="R387" t="str" cm="1">
        <f t="array" ref="R387">_xlfn.SWITCH(S387,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88" spans="1:19">
      <c r="A388" t="s">
        <v>1639</v>
      </c>
      <c r="B388">
        <v>50</v>
      </c>
      <c r="C388" s="2">
        <f>Wet_Wipes[[#This Row],[Желано количество]]</f>
        <v>50</v>
      </c>
      <c r="D388" s="28">
        <v>45991</v>
      </c>
      <c r="E388" t="s">
        <v>1212</v>
      </c>
      <c r="F388" s="30">
        <v>45953.221562500003</v>
      </c>
      <c r="G388" s="38">
        <v>197470</v>
      </c>
      <c r="H388" t="s">
        <v>22</v>
      </c>
      <c r="I388" t="s">
        <v>58</v>
      </c>
      <c r="J388" s="28">
        <v>45972</v>
      </c>
      <c r="L388" s="28">
        <v>45972</v>
      </c>
      <c r="O388" s="2">
        <f>Wet_Wipes[[#This Row],[Цена за 1 бр. в BGN]]*Wet_Wipes[[#This Row],[Поръчано Количество]]</f>
        <v>0</v>
      </c>
      <c r="R388" t="str" cm="1">
        <f t="array" ref="R388">_xlfn.SWITCH(S388,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89" spans="1:19">
      <c r="A389" t="s">
        <v>1640</v>
      </c>
      <c r="B389">
        <v>200</v>
      </c>
      <c r="C389" s="2">
        <f>Wet_Wipes[[#This Row],[Желано количество]]</f>
        <v>200</v>
      </c>
      <c r="D389" s="28">
        <v>45991</v>
      </c>
      <c r="E389" t="s">
        <v>1212</v>
      </c>
      <c r="F389" s="30">
        <v>45953.22247685185</v>
      </c>
      <c r="G389" s="38">
        <v>197470</v>
      </c>
      <c r="H389" t="s">
        <v>22</v>
      </c>
      <c r="I389" t="s">
        <v>58</v>
      </c>
      <c r="J389" s="28">
        <v>45972</v>
      </c>
      <c r="L389" s="28">
        <v>45972</v>
      </c>
      <c r="O389" s="2">
        <f>Wet_Wipes[[#This Row],[Цена за 1 бр. в BGN]]*Wet_Wipes[[#This Row],[Поръчано Количество]]</f>
        <v>0</v>
      </c>
      <c r="R389" t="str" cm="1">
        <f t="array" ref="R389">_xlfn.SWITCH(S389,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90" spans="1:19">
      <c r="A390" t="s">
        <v>1641</v>
      </c>
      <c r="B390">
        <v>100</v>
      </c>
      <c r="C390" s="2">
        <f>Wet_Wipes[[#This Row],[Желано количество]]</f>
        <v>100</v>
      </c>
      <c r="D390" s="28">
        <v>45991</v>
      </c>
      <c r="E390" t="s">
        <v>1212</v>
      </c>
      <c r="F390" s="30">
        <v>45953.223333333335</v>
      </c>
      <c r="G390" s="38">
        <v>197470</v>
      </c>
      <c r="H390" t="s">
        <v>22</v>
      </c>
      <c r="I390" t="s">
        <v>58</v>
      </c>
      <c r="J390" s="28">
        <v>45972</v>
      </c>
      <c r="L390" s="28">
        <v>45972</v>
      </c>
      <c r="O390" s="2">
        <f>Wet_Wipes[[#This Row],[Цена за 1 бр. в BGN]]*Wet_Wipes[[#This Row],[Поръчано Количество]]</f>
        <v>0</v>
      </c>
      <c r="R390" t="str" cm="1">
        <f t="array" ref="R390">_xlfn.SWITCH(S390,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91" spans="1:19">
      <c r="A391" t="s">
        <v>1642</v>
      </c>
      <c r="B391">
        <v>50</v>
      </c>
      <c r="C391" s="2">
        <f>Wet_Wipes[[#This Row],[Желано количество]]</f>
        <v>50</v>
      </c>
      <c r="D391" s="28">
        <v>45991</v>
      </c>
      <c r="E391" t="s">
        <v>1212</v>
      </c>
      <c r="F391" s="30">
        <v>45953.223865740743</v>
      </c>
      <c r="G391" s="38">
        <v>197470</v>
      </c>
      <c r="H391" t="s">
        <v>22</v>
      </c>
      <c r="I391" t="s">
        <v>58</v>
      </c>
      <c r="J391" s="28">
        <v>45972</v>
      </c>
      <c r="L391" s="28">
        <v>45972</v>
      </c>
      <c r="O391" s="2">
        <f>Wet_Wipes[[#This Row],[Цена за 1 бр. в BGN]]*Wet_Wipes[[#This Row],[Поръчано Количество]]</f>
        <v>0</v>
      </c>
      <c r="R391" t="str" cm="1">
        <f t="array" ref="R391">_xlfn.SWITCH(S391,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92" spans="1:19">
      <c r="A392" t="s">
        <v>1643</v>
      </c>
      <c r="B392">
        <v>50</v>
      </c>
      <c r="C392" s="2">
        <f>Wet_Wipes[[#This Row],[Желано количество]]</f>
        <v>50</v>
      </c>
      <c r="D392" s="28">
        <v>45991</v>
      </c>
      <c r="E392" t="s">
        <v>1212</v>
      </c>
      <c r="F392" s="30">
        <v>45953.224143518521</v>
      </c>
      <c r="G392" s="38">
        <v>197470</v>
      </c>
      <c r="H392" t="s">
        <v>22</v>
      </c>
      <c r="I392" t="s">
        <v>58</v>
      </c>
      <c r="J392" s="28">
        <v>45972</v>
      </c>
      <c r="L392" s="28">
        <v>45972</v>
      </c>
      <c r="O392" s="2">
        <f>Wet_Wipes[[#This Row],[Цена за 1 бр. в BGN]]*Wet_Wipes[[#This Row],[Поръчано Количество]]</f>
        <v>0</v>
      </c>
      <c r="R392" t="str" cm="1">
        <f t="array" ref="R392">_xlfn.SWITCH(S392,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93" spans="1:19">
      <c r="A393" t="s">
        <v>1644</v>
      </c>
      <c r="B393">
        <v>10</v>
      </c>
      <c r="C393" s="2">
        <f>Wet_Wipes[[#This Row],[Желано количество]]</f>
        <v>10</v>
      </c>
      <c r="D393" s="28">
        <v>45967</v>
      </c>
      <c r="E393" t="s">
        <v>1186</v>
      </c>
      <c r="F393" s="30">
        <v>45953.240405092591</v>
      </c>
      <c r="G393" s="62" t="s">
        <v>1645</v>
      </c>
      <c r="H393" t="s">
        <v>22</v>
      </c>
      <c r="I393" t="s">
        <v>883</v>
      </c>
      <c r="J393" s="28">
        <v>45968</v>
      </c>
      <c r="L393" s="28"/>
      <c r="O393" s="2">
        <f>Wet_Wipes[[#This Row],[Цена за 1 бр. в BGN]]*Wet_Wipes[[#This Row],[Поръчано Количество]]</f>
        <v>0</v>
      </c>
      <c r="R393" t="str" cm="1">
        <f t="array" ref="R393">_xlfn.SWITCH(S393,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94" spans="1:19">
      <c r="A394" t="s">
        <v>1646</v>
      </c>
      <c r="B394">
        <v>1</v>
      </c>
      <c r="C394" s="2">
        <f>Wet_Wipes[[#This Row],[Желано количество]]</f>
        <v>1</v>
      </c>
      <c r="D394" s="28">
        <v>45958</v>
      </c>
      <c r="E394" t="s">
        <v>1182</v>
      </c>
      <c r="F394" s="30">
        <v>45958.255486111113</v>
      </c>
      <c r="G394" s="62"/>
      <c r="H394" t="s">
        <v>22</v>
      </c>
      <c r="I394" t="s">
        <v>1647</v>
      </c>
      <c r="J394" s="28">
        <v>45958</v>
      </c>
      <c r="L394" s="28">
        <v>45958</v>
      </c>
      <c r="O394" s="2">
        <f>Wet_Wipes[[#This Row],[Цена за 1 бр. в BGN]]*Wet_Wipes[[#This Row],[Поръчано Количество]]</f>
        <v>0</v>
      </c>
      <c r="R394" t="str" cm="1">
        <f t="array" ref="R394">_xlfn.SWITCH(S394,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395" spans="1:19">
      <c r="A395" t="s">
        <v>1648</v>
      </c>
      <c r="B395">
        <v>5</v>
      </c>
      <c r="C395" s="2">
        <f>Wet_Wipes[[#This Row],[Желано количество]]</f>
        <v>5</v>
      </c>
      <c r="D395" s="28">
        <v>45958</v>
      </c>
      <c r="E395" t="s">
        <v>1212</v>
      </c>
      <c r="F395" s="30">
        <v>45958.462314814817</v>
      </c>
      <c r="G395" s="62" t="s">
        <v>1649</v>
      </c>
      <c r="H395" t="s">
        <v>22</v>
      </c>
      <c r="J395" s="28"/>
      <c r="L395" s="28">
        <v>45958</v>
      </c>
      <c r="O395" s="2">
        <f>Wet_Wipes[[#This Row],[Цена за 1 бр. в BGN]]*Wet_Wipes[[#This Row],[Поръчано Количество]]</f>
        <v>0</v>
      </c>
      <c r="R395" t="str" cm="1">
        <f t="array" ref="R395">_xlfn.SWITCH(S395,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395" s="6" t="s">
        <v>1040</v>
      </c>
    </row>
    <row r="396" spans="1:19">
      <c r="A396" t="s">
        <v>1650</v>
      </c>
      <c r="B396">
        <v>5</v>
      </c>
      <c r="C396" s="2">
        <f>Wet_Wipes[[#This Row],[Желано количество]]</f>
        <v>5</v>
      </c>
      <c r="D396" s="28">
        <v>45958</v>
      </c>
      <c r="E396" t="s">
        <v>1212</v>
      </c>
      <c r="F396" s="30">
        <v>45958.462858796294</v>
      </c>
      <c r="G396" s="62" t="s">
        <v>1649</v>
      </c>
      <c r="H396" t="s">
        <v>22</v>
      </c>
      <c r="J396" s="28"/>
      <c r="L396" s="28">
        <v>45958</v>
      </c>
      <c r="O396" s="2">
        <f>Wet_Wipes[[#This Row],[Цена за 1 бр. в BGN]]*Wet_Wipes[[#This Row],[Поръчано Количество]]</f>
        <v>0</v>
      </c>
      <c r="R396" t="str" cm="1">
        <f t="array" ref="R396">_xlfn.SWITCH(S396,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396" s="6" t="s">
        <v>1040</v>
      </c>
    </row>
    <row r="397" spans="1:19">
      <c r="A397" t="s">
        <v>1651</v>
      </c>
      <c r="B397">
        <v>5</v>
      </c>
      <c r="C397" s="2">
        <f>Wet_Wipes[[#This Row],[Желано количество]]</f>
        <v>5</v>
      </c>
      <c r="D397" s="28">
        <v>45958</v>
      </c>
      <c r="E397" t="s">
        <v>1212</v>
      </c>
      <c r="F397" s="30">
        <v>45958.463333333333</v>
      </c>
      <c r="G397" s="62" t="s">
        <v>1649</v>
      </c>
      <c r="H397" t="s">
        <v>22</v>
      </c>
      <c r="J397" s="28"/>
      <c r="L397" s="28">
        <v>45958</v>
      </c>
      <c r="O397" s="2">
        <f>Wet_Wipes[[#This Row],[Цена за 1 бр. в BGN]]*Wet_Wipes[[#This Row],[Поръчано Количество]]</f>
        <v>0</v>
      </c>
      <c r="R397" t="str" cm="1">
        <f t="array" ref="R397">_xlfn.SWITCH(S397,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397" s="6" t="s">
        <v>1040</v>
      </c>
    </row>
    <row r="398" spans="1:19">
      <c r="A398" t="s">
        <v>1652</v>
      </c>
      <c r="B398">
        <v>4</v>
      </c>
      <c r="C398" s="2">
        <v>6</v>
      </c>
      <c r="D398" s="28">
        <v>45975</v>
      </c>
      <c r="E398" t="s">
        <v>1188</v>
      </c>
      <c r="F398" s="30">
        <v>45967.505150462966</v>
      </c>
      <c r="G398" s="62" t="s">
        <v>1653</v>
      </c>
      <c r="H398" t="s">
        <v>22</v>
      </c>
      <c r="I398" t="s">
        <v>633</v>
      </c>
      <c r="J398" s="28">
        <v>45978</v>
      </c>
      <c r="L398" s="28">
        <v>45978</v>
      </c>
      <c r="M398">
        <v>6</v>
      </c>
      <c r="N398">
        <v>23.78</v>
      </c>
      <c r="O398" s="2">
        <f>Wet_Wipes[[#This Row],[Цена за 1 бр. в BGN]]*Wet_Wipes[[#This Row],[Поръчано Количество]]</f>
        <v>142.68</v>
      </c>
      <c r="R398" t="str" cm="1">
        <f t="array" ref="R398">_xlfn.SWITCH(S398,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398" s="6" t="s">
        <v>461</v>
      </c>
    </row>
    <row r="399" spans="1:19">
      <c r="A399" t="s">
        <v>444</v>
      </c>
      <c r="B399">
        <v>1</v>
      </c>
      <c r="C399" s="2">
        <f>Wet_Wipes[[#This Row],[Желано количество]]</f>
        <v>1</v>
      </c>
      <c r="D399" s="28">
        <v>46011</v>
      </c>
      <c r="E399" t="s">
        <v>1186</v>
      </c>
      <c r="F399" s="30">
        <v>45966.31459490741</v>
      </c>
      <c r="G399" t="s">
        <v>445</v>
      </c>
      <c r="H399" t="s">
        <v>22</v>
      </c>
      <c r="I399" t="s">
        <v>48</v>
      </c>
      <c r="J399" s="28">
        <v>46028</v>
      </c>
      <c r="L399" s="28"/>
      <c r="N399">
        <v>2349.12</v>
      </c>
      <c r="O399" s="2">
        <f>Wet_Wipes[[#This Row],[Цена за 1 бр. в BGN]]*Wet_Wipes[[#This Row],[Поръчано Количество]]</f>
        <v>2349.12</v>
      </c>
      <c r="R399" t="str" cm="1">
        <f t="array" ref="R399">_xlfn.SWITCH(S399,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400" spans="1:19">
      <c r="A400" t="s">
        <v>1654</v>
      </c>
      <c r="B400">
        <v>3</v>
      </c>
      <c r="C400" s="2">
        <f>Wet_Wipes[[#This Row],[Желано количество]]</f>
        <v>3</v>
      </c>
      <c r="D400" s="28">
        <v>45979</v>
      </c>
      <c r="E400" t="s">
        <v>63</v>
      </c>
      <c r="F400" s="30">
        <v>45978.3125462963</v>
      </c>
      <c r="G400" s="62" t="s">
        <v>1655</v>
      </c>
      <c r="H400" t="s">
        <v>22</v>
      </c>
      <c r="I400" t="s">
        <v>58</v>
      </c>
      <c r="J400" s="28">
        <v>45982</v>
      </c>
      <c r="L400" s="28">
        <v>45982</v>
      </c>
      <c r="N400">
        <v>44.4</v>
      </c>
      <c r="O400" s="2">
        <f>Wet_Wipes[[#This Row],[Цена за 1 бр. в BGN]]*Wet_Wipes[[#This Row],[Поръчано Количество]]</f>
        <v>133.19999999999999</v>
      </c>
      <c r="R400" t="str" cm="1">
        <f t="array" ref="R400">_xlfn.SWITCH(S400,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00" t="s">
        <v>1631</v>
      </c>
    </row>
    <row r="401" spans="1:19">
      <c r="A401" t="s">
        <v>1656</v>
      </c>
      <c r="B401">
        <v>2</v>
      </c>
      <c r="C401" s="2">
        <f>Wet_Wipes[[#This Row],[Желано количество]]</f>
        <v>2</v>
      </c>
      <c r="D401" s="28">
        <v>45979</v>
      </c>
      <c r="E401" t="s">
        <v>63</v>
      </c>
      <c r="F401" s="30">
        <v>45978.313020833331</v>
      </c>
      <c r="G401" s="62" t="s">
        <v>1655</v>
      </c>
      <c r="H401" t="s">
        <v>22</v>
      </c>
      <c r="I401" t="s">
        <v>58</v>
      </c>
      <c r="J401" s="28">
        <v>45982</v>
      </c>
      <c r="L401" s="28">
        <v>45982</v>
      </c>
      <c r="N401">
        <v>26.96</v>
      </c>
      <c r="O401" s="2">
        <f>Wet_Wipes[[#This Row],[Цена за 1 бр. в BGN]]*Wet_Wipes[[#This Row],[Поръчано Количество]]</f>
        <v>53.92</v>
      </c>
      <c r="R401" t="str" cm="1">
        <f t="array" ref="R401">_xlfn.SWITCH(S401,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01" t="s">
        <v>1631</v>
      </c>
    </row>
    <row r="402" spans="1:19">
      <c r="A402" t="s">
        <v>1657</v>
      </c>
      <c r="B402">
        <v>10</v>
      </c>
      <c r="C402" s="2">
        <f>Wet_Wipes[[#This Row],[Желано количество]]</f>
        <v>10</v>
      </c>
      <c r="D402" s="28">
        <v>45980</v>
      </c>
      <c r="E402" t="s">
        <v>1212</v>
      </c>
      <c r="F402" s="30">
        <v>45978.313668981478</v>
      </c>
      <c r="G402" s="62"/>
      <c r="I402" t="s">
        <v>1536</v>
      </c>
      <c r="J402" s="28"/>
      <c r="L402" s="28"/>
      <c r="O402" s="2">
        <f>Wet_Wipes[[#This Row],[Цена за 1 бр. в BGN]]*Wet_Wipes[[#This Row],[Поръчано Количество]]</f>
        <v>0</v>
      </c>
      <c r="R402" t="str" cm="1">
        <f t="array" ref="R402">_xlfn.SWITCH(S402,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02" t="s">
        <v>1631</v>
      </c>
    </row>
    <row r="403" spans="1:19">
      <c r="A403" t="s">
        <v>1658</v>
      </c>
      <c r="B403">
        <v>1</v>
      </c>
      <c r="C403" s="2">
        <f>Wet_Wipes[[#This Row],[Желано количество]]</f>
        <v>1</v>
      </c>
      <c r="D403" s="28">
        <v>45979</v>
      </c>
      <c r="E403" t="s">
        <v>63</v>
      </c>
      <c r="F403" s="30">
        <v>45978.314074074071</v>
      </c>
      <c r="G403" s="38">
        <v>202085</v>
      </c>
      <c r="H403" t="s">
        <v>22</v>
      </c>
      <c r="I403" t="s">
        <v>58</v>
      </c>
      <c r="J403" s="28">
        <v>46002</v>
      </c>
      <c r="L403" s="28"/>
      <c r="O403" s="2">
        <f>Wet_Wipes[[#This Row],[Цена за 1 бр. в BGN]]*Wet_Wipes[[#This Row],[Поръчано Количество]]</f>
        <v>0</v>
      </c>
      <c r="R403" t="str" cm="1">
        <f t="array" ref="R403">_xlfn.SWITCH(S403,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03" t="s">
        <v>1631</v>
      </c>
    </row>
    <row r="404" spans="1:19">
      <c r="A404" t="s">
        <v>1659</v>
      </c>
      <c r="B404">
        <v>4</v>
      </c>
      <c r="C404" s="2">
        <f>Wet_Wipes[[#This Row],[Желано количество]]</f>
        <v>4</v>
      </c>
      <c r="D404" s="28">
        <v>45982</v>
      </c>
      <c r="E404" t="s">
        <v>1192</v>
      </c>
      <c r="F404" s="30">
        <v>45978.378009259257</v>
      </c>
      <c r="G404" s="62" t="s">
        <v>1660</v>
      </c>
      <c r="H404" t="s">
        <v>22</v>
      </c>
      <c r="I404" t="s">
        <v>73</v>
      </c>
      <c r="J404" s="28"/>
      <c r="L404" s="28">
        <v>46009</v>
      </c>
      <c r="O404" s="2">
        <f>Wet_Wipes[[#This Row],[Цена за 1 бр. в BGN]]*Wet_Wipes[[#This Row],[Поръчано Количество]]</f>
        <v>0</v>
      </c>
      <c r="R404" t="str" cm="1">
        <f t="array" ref="R404">_xlfn.SWITCH(S404,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04" t="s">
        <v>461</v>
      </c>
    </row>
    <row r="405" spans="1:19">
      <c r="A405" t="s">
        <v>1661</v>
      </c>
      <c r="B405">
        <v>4</v>
      </c>
      <c r="C405" s="2">
        <f>Wet_Wipes[[#This Row],[Желано количество]]</f>
        <v>4</v>
      </c>
      <c r="D405" s="28">
        <v>45982</v>
      </c>
      <c r="E405" t="s">
        <v>1192</v>
      </c>
      <c r="F405" s="30">
        <v>45978.378344907411</v>
      </c>
      <c r="G405" s="62" t="s">
        <v>1660</v>
      </c>
      <c r="H405" t="s">
        <v>22</v>
      </c>
      <c r="I405" t="s">
        <v>73</v>
      </c>
      <c r="J405" s="28"/>
      <c r="L405" s="28" t="s">
        <v>1662</v>
      </c>
      <c r="O405" s="2">
        <f>Wet_Wipes[[#This Row],[Цена за 1 бр. в BGN]]*Wet_Wipes[[#This Row],[Поръчано Количество]]</f>
        <v>0</v>
      </c>
      <c r="R405" t="str" cm="1">
        <f t="array" ref="R405">_xlfn.SWITCH(S405,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05" t="s">
        <v>461</v>
      </c>
    </row>
    <row r="406" spans="1:19">
      <c r="A406" t="s">
        <v>1663</v>
      </c>
      <c r="B406">
        <v>2</v>
      </c>
      <c r="C406" s="2">
        <f>Wet_Wipes[[#This Row],[Желано количество]]</f>
        <v>2</v>
      </c>
      <c r="D406" s="28">
        <v>45982</v>
      </c>
      <c r="E406" t="s">
        <v>1188</v>
      </c>
      <c r="F406" s="30">
        <v>45980.619560185187</v>
      </c>
      <c r="G406" s="69" t="s">
        <v>1664</v>
      </c>
      <c r="H406" t="s">
        <v>22</v>
      </c>
      <c r="I406" t="s">
        <v>164</v>
      </c>
      <c r="J406" s="28">
        <v>45982</v>
      </c>
      <c r="L406" s="28"/>
      <c r="N406">
        <v>161.19</v>
      </c>
      <c r="O406" s="2">
        <f>Wet_Wipes[[#This Row],[Цена за 1 бр. в BGN]]*Wet_Wipes[[#This Row],[Поръчано Количество]]</f>
        <v>322.38</v>
      </c>
      <c r="R406" t="str" cm="1">
        <f t="array" ref="R406">_xlfn.SWITCH(S406,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06" t="s">
        <v>461</v>
      </c>
    </row>
    <row r="407" spans="1:19">
      <c r="A407" t="s">
        <v>1665</v>
      </c>
      <c r="B407">
        <v>1</v>
      </c>
      <c r="C407" s="2">
        <f>Wet_Wipes[[#This Row],[Желано количество]]</f>
        <v>1</v>
      </c>
      <c r="D407" s="28">
        <v>45982</v>
      </c>
      <c r="E407" t="s">
        <v>1188</v>
      </c>
      <c r="F407" s="30">
        <v>45980.620023148149</v>
      </c>
      <c r="G407" s="69" t="s">
        <v>1664</v>
      </c>
      <c r="H407" t="s">
        <v>22</v>
      </c>
      <c r="I407" t="s">
        <v>164</v>
      </c>
      <c r="J407" s="28">
        <v>45982</v>
      </c>
      <c r="L407" s="28"/>
      <c r="N407">
        <v>225.99</v>
      </c>
      <c r="O407" s="2">
        <f>Wet_Wipes[[#This Row],[Цена за 1 бр. в BGN]]*Wet_Wipes[[#This Row],[Поръчано Количество]]</f>
        <v>225.99</v>
      </c>
      <c r="R407" t="str" cm="1">
        <f t="array" ref="R407">_xlfn.SWITCH(S407,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07" t="s">
        <v>461</v>
      </c>
    </row>
    <row r="408" spans="1:19">
      <c r="A408" t="s">
        <v>1666</v>
      </c>
      <c r="B408">
        <v>3</v>
      </c>
      <c r="C408" s="2">
        <f>Wet_Wipes[[#This Row],[Желано количество]]</f>
        <v>3</v>
      </c>
      <c r="D408" s="28">
        <v>45986</v>
      </c>
      <c r="E408" t="s">
        <v>63</v>
      </c>
      <c r="F408" s="30">
        <v>45982.367604166669</v>
      </c>
      <c r="G408" s="38">
        <v>202085</v>
      </c>
      <c r="H408" t="s">
        <v>22</v>
      </c>
      <c r="I408" t="s">
        <v>58</v>
      </c>
      <c r="J408" s="28">
        <v>46002</v>
      </c>
      <c r="L408" s="28"/>
      <c r="O408" s="2">
        <f>Wet_Wipes[[#This Row],[Цена за 1 бр. в BGN]]*Wet_Wipes[[#This Row],[Поръчано Количество]]</f>
        <v>0</v>
      </c>
      <c r="R408" t="str" cm="1">
        <f t="array" ref="R408">_xlfn.SWITCH(S408,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08" t="s">
        <v>1631</v>
      </c>
    </row>
    <row r="409" spans="1:19">
      <c r="A409" t="s">
        <v>1667</v>
      </c>
      <c r="B409">
        <v>3</v>
      </c>
      <c r="C409" s="2">
        <f>Wet_Wipes[[#This Row],[Желано количество]]</f>
        <v>3</v>
      </c>
      <c r="D409" s="28">
        <v>45985</v>
      </c>
      <c r="E409" t="s">
        <v>63</v>
      </c>
      <c r="F409" s="30">
        <v>45982.368564814817</v>
      </c>
      <c r="G409" s="38">
        <v>202085</v>
      </c>
      <c r="H409" t="s">
        <v>22</v>
      </c>
      <c r="I409" t="s">
        <v>58</v>
      </c>
      <c r="J409" s="28">
        <v>46002</v>
      </c>
      <c r="L409" s="28"/>
      <c r="O409" s="2">
        <f>Wet_Wipes[[#This Row],[Цена за 1 бр. в BGN]]*Wet_Wipes[[#This Row],[Поръчано Количество]]</f>
        <v>0</v>
      </c>
      <c r="R409" t="str" cm="1">
        <f t="array" ref="R409">_xlfn.SWITCH(S409,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09" t="s">
        <v>1631</v>
      </c>
    </row>
    <row r="410" spans="1:19">
      <c r="A410" t="s">
        <v>1668</v>
      </c>
      <c r="B410">
        <v>1</v>
      </c>
      <c r="C410" s="2">
        <f>Wet_Wipes[[#This Row],[Желано количество]]</f>
        <v>1</v>
      </c>
      <c r="D410" s="28">
        <v>45989</v>
      </c>
      <c r="E410" t="s">
        <v>1186</v>
      </c>
      <c r="F410" s="30">
        <v>45986.337199074071</v>
      </c>
      <c r="G410" s="62" t="s">
        <v>1669</v>
      </c>
      <c r="H410" t="s">
        <v>780</v>
      </c>
      <c r="I410" t="s">
        <v>1670</v>
      </c>
      <c r="J410" s="28"/>
      <c r="L410" s="28"/>
      <c r="O410" s="2">
        <f>Wet_Wipes[[#This Row],[Цена за 1 бр. в BGN]]*Wet_Wipes[[#This Row],[Поръчано Количество]]</f>
        <v>0</v>
      </c>
      <c r="R410" t="str" cm="1">
        <f t="array" ref="R410">_xlfn.SWITCH(S410,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10" t="s">
        <v>461</v>
      </c>
    </row>
    <row r="411" spans="1:19">
      <c r="A411" t="s">
        <v>1671</v>
      </c>
      <c r="B411">
        <v>50</v>
      </c>
      <c r="C411" s="2">
        <f>Wet_Wipes[[#This Row],[Желано количество]]</f>
        <v>50</v>
      </c>
      <c r="D411" s="28">
        <v>45986</v>
      </c>
      <c r="E411" t="s">
        <v>1212</v>
      </c>
      <c r="F411" s="30">
        <v>45986.440462962964</v>
      </c>
      <c r="G411" s="62"/>
      <c r="H411" t="s">
        <v>22</v>
      </c>
      <c r="J411" s="28"/>
      <c r="L411" s="28"/>
      <c r="O411" s="2">
        <f>Wet_Wipes[[#This Row],[Цена за 1 бр. в BGN]]*Wet_Wipes[[#This Row],[Поръчано Количество]]</f>
        <v>0</v>
      </c>
      <c r="R411" t="str" cm="1">
        <f t="array" ref="R411">_xlfn.SWITCH(S411,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11" t="s">
        <v>1631</v>
      </c>
    </row>
    <row r="412" spans="1:19">
      <c r="A412" t="s">
        <v>1672</v>
      </c>
      <c r="B412">
        <v>50</v>
      </c>
      <c r="C412" s="2">
        <f>Wet_Wipes[[#This Row],[Желано количество]]</f>
        <v>50</v>
      </c>
      <c r="D412" s="28">
        <v>45986</v>
      </c>
      <c r="E412" t="s">
        <v>1212</v>
      </c>
      <c r="F412" s="30">
        <v>45986.440798611111</v>
      </c>
      <c r="G412" s="62"/>
      <c r="H412" t="s">
        <v>22</v>
      </c>
      <c r="J412" s="28"/>
      <c r="L412" s="28"/>
      <c r="O412" s="2">
        <f>Wet_Wipes[[#This Row],[Цена за 1 бр. в BGN]]*Wet_Wipes[[#This Row],[Поръчано Количество]]</f>
        <v>0</v>
      </c>
      <c r="R412" t="str" cm="1">
        <f t="array" ref="R412">_xlfn.SWITCH(S412,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12" t="s">
        <v>1631</v>
      </c>
    </row>
    <row r="413" spans="1:19">
      <c r="A413" t="s">
        <v>1673</v>
      </c>
      <c r="B413">
        <v>5</v>
      </c>
      <c r="C413" s="2">
        <f>Wet_Wipes[[#This Row],[Желано количество]]</f>
        <v>5</v>
      </c>
      <c r="D413" s="28">
        <v>46001</v>
      </c>
      <c r="E413" t="s">
        <v>1674</v>
      </c>
      <c r="F413" s="30">
        <v>45986.552708333336</v>
      </c>
      <c r="G413" s="62"/>
      <c r="H413" t="s">
        <v>22</v>
      </c>
      <c r="I413" t="s">
        <v>1225</v>
      </c>
      <c r="J413" s="28"/>
      <c r="L413" s="28"/>
      <c r="O413" s="2">
        <f>Wet_Wipes[[#This Row],[Цена за 1 бр. в BGN]]*Wet_Wipes[[#This Row],[Поръчано Количество]]</f>
        <v>0</v>
      </c>
      <c r="R413" t="str" cm="1">
        <f t="array" ref="R413">_xlfn.SWITCH(S413,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13" t="s">
        <v>1631</v>
      </c>
    </row>
    <row r="414" spans="1:19">
      <c r="A414" t="s">
        <v>1675</v>
      </c>
      <c r="B414">
        <v>1</v>
      </c>
      <c r="C414" s="2">
        <f>Wet_Wipes[[#This Row],[Желано количество]]</f>
        <v>1</v>
      </c>
      <c r="D414" s="28">
        <v>46003</v>
      </c>
      <c r="E414" t="s">
        <v>1674</v>
      </c>
      <c r="F414" s="30">
        <v>45987.393958333334</v>
      </c>
      <c r="G414" s="62"/>
      <c r="I414" t="s">
        <v>1225</v>
      </c>
      <c r="J414" s="28"/>
      <c r="L414" s="28"/>
      <c r="O414" s="2">
        <f>Wet_Wipes[[#This Row],[Цена за 1 бр. в BGN]]*Wet_Wipes[[#This Row],[Поръчано Количество]]</f>
        <v>0</v>
      </c>
      <c r="R414" t="str" cm="1">
        <f t="array" ref="R414">_xlfn.SWITCH(S414,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Iliev</v>
      </c>
      <c r="S414" s="6" t="s">
        <v>423</v>
      </c>
    </row>
    <row r="415" spans="1:19">
      <c r="A415" t="s">
        <v>1676</v>
      </c>
      <c r="B415">
        <v>20</v>
      </c>
      <c r="C415" s="2">
        <f>Wet_Wipes[[#This Row],[Желано количество]]</f>
        <v>20</v>
      </c>
      <c r="D415" s="28">
        <v>45989</v>
      </c>
      <c r="E415" t="s">
        <v>1212</v>
      </c>
      <c r="F415" s="30">
        <v>45988.249861111108</v>
      </c>
      <c r="G415" s="38">
        <v>202085</v>
      </c>
      <c r="H415" t="s">
        <v>22</v>
      </c>
      <c r="I415" t="s">
        <v>58</v>
      </c>
      <c r="J415" s="28">
        <v>46002</v>
      </c>
      <c r="L415" s="28"/>
      <c r="O415" s="2">
        <f>Wet_Wipes[[#This Row],[Цена за 1 бр. в BGN]]*Wet_Wipes[[#This Row],[Поръчано Количество]]</f>
        <v>0</v>
      </c>
      <c r="R415" t="str" cm="1">
        <f t="array" ref="R415">_xlfn.SWITCH(S415,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15" s="6" t="s">
        <v>1631</v>
      </c>
    </row>
    <row r="416" spans="1:19">
      <c r="A416" t="s">
        <v>1677</v>
      </c>
      <c r="B416">
        <v>20</v>
      </c>
      <c r="C416" s="2">
        <f>Wet_Wipes[[#This Row],[Желано количество]]</f>
        <v>20</v>
      </c>
      <c r="D416" s="28">
        <v>45996</v>
      </c>
      <c r="E416" t="s">
        <v>1188</v>
      </c>
      <c r="F416" s="30">
        <v>45992.321064814816</v>
      </c>
      <c r="G416" s="62" t="s">
        <v>1602</v>
      </c>
      <c r="H416" t="s">
        <v>22</v>
      </c>
      <c r="I416" t="s">
        <v>24</v>
      </c>
      <c r="J416" s="28">
        <v>46010</v>
      </c>
      <c r="L416" s="28"/>
      <c r="N416">
        <v>16.07</v>
      </c>
      <c r="O416" s="2">
        <f>Wet_Wipes[[#This Row],[Цена за 1 бр. в BGN]]*Wet_Wipes[[#This Row],[Поръчано Количество]]</f>
        <v>321.39999999999998</v>
      </c>
      <c r="R416" t="str" cm="1">
        <f t="array" ref="R416">_xlfn.SWITCH(S416,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Iliev</v>
      </c>
      <c r="S416" s="6" t="s">
        <v>423</v>
      </c>
    </row>
    <row r="417" spans="1:19">
      <c r="A417" t="s">
        <v>1678</v>
      </c>
      <c r="B417">
        <v>20</v>
      </c>
      <c r="C417" s="2">
        <f>Wet_Wipes[[#This Row],[Желано количество]]</f>
        <v>20</v>
      </c>
      <c r="D417" s="28">
        <v>45996</v>
      </c>
      <c r="E417" t="s">
        <v>1215</v>
      </c>
      <c r="F417" s="30">
        <v>45992.321851851855</v>
      </c>
      <c r="G417" s="62" t="s">
        <v>1602</v>
      </c>
      <c r="H417" t="s">
        <v>22</v>
      </c>
      <c r="I417" t="s">
        <v>24</v>
      </c>
      <c r="J417" s="28">
        <v>46010</v>
      </c>
      <c r="L417" s="28"/>
      <c r="N417">
        <v>4.16</v>
      </c>
      <c r="O417" s="2">
        <f>Wet_Wipes[[#This Row],[Цена за 1 бр. в BGN]]*Wet_Wipes[[#This Row],[Поръчано Количество]]</f>
        <v>83.2</v>
      </c>
      <c r="R417" t="str" cm="1">
        <f t="array" ref="R417">_xlfn.SWITCH(S417,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Iliev</v>
      </c>
      <c r="S417" s="6" t="s">
        <v>423</v>
      </c>
    </row>
    <row r="418" spans="1:19">
      <c r="A418" t="s">
        <v>1679</v>
      </c>
      <c r="B418">
        <v>2</v>
      </c>
      <c r="C418" s="2">
        <f>Wet_Wipes[[#This Row],[Желано количество]]</f>
        <v>2</v>
      </c>
      <c r="D418" s="28">
        <v>46003</v>
      </c>
      <c r="E418" t="s">
        <v>1285</v>
      </c>
      <c r="F418" s="30">
        <v>45993.263564814813</v>
      </c>
      <c r="G418" s="62" t="s">
        <v>1680</v>
      </c>
      <c r="H418" t="s">
        <v>22</v>
      </c>
      <c r="I418" t="s">
        <v>46</v>
      </c>
      <c r="J418" s="28"/>
      <c r="L418" s="28"/>
      <c r="O418" s="2">
        <f>Wet_Wipes[[#This Row],[Цена за 1 бр. в BGN]]*Wet_Wipes[[#This Row],[Поръчано Количество]]</f>
        <v>0</v>
      </c>
      <c r="R418" t="str" cm="1">
        <f t="array" ref="R418">_xlfn.SWITCH(S418,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18" s="6" t="s">
        <v>461</v>
      </c>
    </row>
    <row r="419" spans="1:19">
      <c r="A419" t="s">
        <v>1681</v>
      </c>
      <c r="B419">
        <v>4</v>
      </c>
      <c r="C419" s="2">
        <f>Wet_Wipes[[#This Row],[Желано количество]]</f>
        <v>4</v>
      </c>
      <c r="D419" s="28">
        <v>46008</v>
      </c>
      <c r="E419" t="s">
        <v>1182</v>
      </c>
      <c r="F419" s="30">
        <v>45995.00277777778</v>
      </c>
      <c r="G419" s="62" t="s">
        <v>1682</v>
      </c>
      <c r="H419" t="s">
        <v>22</v>
      </c>
      <c r="I419" t="s">
        <v>73</v>
      </c>
      <c r="J419" s="28">
        <v>46010</v>
      </c>
      <c r="L419" s="28"/>
      <c r="N419">
        <v>386.82319999999999</v>
      </c>
      <c r="O419" s="2">
        <f>Wet_Wipes[[#This Row],[Цена за 1 бр. в BGN]]*Wet_Wipes[[#This Row],[Поръчано Количество]]</f>
        <v>1547.2927999999999</v>
      </c>
      <c r="R419" t="str" cm="1">
        <f t="array" ref="R419">_xlfn.SWITCH(S419,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19" s="6" t="s">
        <v>1631</v>
      </c>
    </row>
    <row r="420" spans="1:19">
      <c r="A420" t="s">
        <v>1683</v>
      </c>
      <c r="B420">
        <v>4</v>
      </c>
      <c r="C420" s="2">
        <f>Wet_Wipes[[#This Row],[Желано количество]]</f>
        <v>4</v>
      </c>
      <c r="D420" s="28">
        <v>46010</v>
      </c>
      <c r="E420" t="s">
        <v>1188</v>
      </c>
      <c r="F420" s="30">
        <v>46002.458472222221</v>
      </c>
      <c r="G420" s="69">
        <v>128796</v>
      </c>
      <c r="H420" t="s">
        <v>22</v>
      </c>
      <c r="I420" t="s">
        <v>382</v>
      </c>
      <c r="J420" s="28"/>
      <c r="L420" s="28">
        <v>46006</v>
      </c>
      <c r="M420">
        <v>2</v>
      </c>
      <c r="O420" s="2">
        <f>Wet_Wipes[[#This Row],[Цена за 1 бр. в BGN]]*Wet_Wipes[[#This Row],[Поръчано Количество]]</f>
        <v>0</v>
      </c>
      <c r="R420" t="str" cm="1">
        <f t="array" ref="R420">_xlfn.SWITCH(S420,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Iliev</v>
      </c>
      <c r="S420" s="6" t="s">
        <v>423</v>
      </c>
    </row>
    <row r="421" spans="1:19">
      <c r="A421" t="s">
        <v>1684</v>
      </c>
      <c r="B421">
        <v>2</v>
      </c>
      <c r="C421" s="2">
        <f>Wet_Wipes[[#This Row],[Желано количество]]</f>
        <v>2</v>
      </c>
      <c r="D421" s="28">
        <v>46038</v>
      </c>
      <c r="E421" t="s">
        <v>1215</v>
      </c>
      <c r="F421" s="30">
        <v>46006.469201388885</v>
      </c>
      <c r="G421" s="62" t="s">
        <v>1685</v>
      </c>
      <c r="H421" t="s">
        <v>22</v>
      </c>
      <c r="I421" t="s">
        <v>1519</v>
      </c>
      <c r="J421" s="28">
        <v>46063</v>
      </c>
      <c r="L421" s="28">
        <v>46050</v>
      </c>
      <c r="M421">
        <v>2</v>
      </c>
      <c r="N421">
        <v>1877.31</v>
      </c>
      <c r="O421" s="2">
        <f>Wet_Wipes[[#This Row],[Цена за 1 бр. в BGN]]*Wet_Wipes[[#This Row],[Поръчано Количество]]</f>
        <v>3754.62</v>
      </c>
      <c r="R421" t="str" cm="1">
        <f t="array" ref="R421">_xlfn.SWITCH(S421,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Iliev</v>
      </c>
      <c r="S421" s="6" t="s">
        <v>423</v>
      </c>
    </row>
    <row r="422" spans="1:19">
      <c r="A422" t="s">
        <v>1440</v>
      </c>
      <c r="B422">
        <v>30</v>
      </c>
      <c r="C422" s="2">
        <v>20</v>
      </c>
      <c r="D422" s="28">
        <v>46033</v>
      </c>
      <c r="E422" t="s">
        <v>1188</v>
      </c>
      <c r="F422" s="30">
        <v>46006.674513888887</v>
      </c>
      <c r="G422" s="62" t="s">
        <v>308</v>
      </c>
      <c r="H422" t="s">
        <v>22</v>
      </c>
      <c r="J422" s="28"/>
      <c r="L422" s="28"/>
      <c r="M422">
        <v>20</v>
      </c>
      <c r="O422" s="2">
        <f>Wet_Wipes[[#This Row],[Цена за 1 бр. в BGN]]*Wet_Wipes[[#This Row],[Поръчано Количество]]</f>
        <v>0</v>
      </c>
      <c r="R422" t="str" cm="1">
        <f t="array" ref="R422">_xlfn.SWITCH(S422,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22" s="6" t="s">
        <v>1631</v>
      </c>
    </row>
    <row r="423" spans="1:19">
      <c r="A423" t="s">
        <v>1686</v>
      </c>
      <c r="B423">
        <v>20</v>
      </c>
      <c r="C423" s="2">
        <f>Wet_Wipes[[#This Row],[Желано количество]]</f>
        <v>20</v>
      </c>
      <c r="D423" s="28">
        <v>46033</v>
      </c>
      <c r="E423" t="s">
        <v>1188</v>
      </c>
      <c r="F423" s="30">
        <v>46006.675000000003</v>
      </c>
      <c r="G423" s="62"/>
      <c r="I423" t="s">
        <v>58</v>
      </c>
      <c r="J423" s="28"/>
      <c r="L423" s="28"/>
      <c r="O423" s="2">
        <f>Wet_Wipes[[#This Row],[Цена за 1 бр. в BGN]]*Wet_Wipes[[#This Row],[Поръчано Количество]]</f>
        <v>0</v>
      </c>
      <c r="R423" t="str" cm="1">
        <f t="array" ref="R423">_xlfn.SWITCH(S423,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23" s="6" t="s">
        <v>1631</v>
      </c>
    </row>
    <row r="424" spans="1:19">
      <c r="A424" t="s">
        <v>1687</v>
      </c>
      <c r="B424">
        <v>20</v>
      </c>
      <c r="C424" s="2">
        <f>Wet_Wipes[[#This Row],[Желано количество]]</f>
        <v>20</v>
      </c>
      <c r="D424" s="28">
        <v>46033</v>
      </c>
      <c r="E424" t="s">
        <v>1188</v>
      </c>
      <c r="F424" s="30">
        <v>46006.675428240742</v>
      </c>
      <c r="G424" s="62"/>
      <c r="I424" t="s">
        <v>58</v>
      </c>
      <c r="J424" s="28"/>
      <c r="L424" s="28"/>
      <c r="O424" s="2">
        <f>Wet_Wipes[[#This Row],[Цена за 1 бр. в BGN]]*Wet_Wipes[[#This Row],[Поръчано Количество]]</f>
        <v>0</v>
      </c>
      <c r="R424" t="str" cm="1">
        <f t="array" ref="R424">_xlfn.SWITCH(S424,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24" s="6" t="s">
        <v>1631</v>
      </c>
    </row>
    <row r="425" spans="1:19">
      <c r="A425" t="s">
        <v>1688</v>
      </c>
      <c r="B425">
        <v>5</v>
      </c>
      <c r="C425" s="2">
        <f>Wet_Wipes[[#This Row],[Желано количество]]</f>
        <v>5</v>
      </c>
      <c r="D425" s="28">
        <v>46033</v>
      </c>
      <c r="E425" t="s">
        <v>63</v>
      </c>
      <c r="F425" s="30">
        <v>46006.675833333335</v>
      </c>
      <c r="G425" s="62"/>
      <c r="I425" t="s">
        <v>58</v>
      </c>
      <c r="J425" s="28"/>
      <c r="L425" s="28"/>
      <c r="O425" s="2">
        <f>Wet_Wipes[[#This Row],[Цена за 1 бр. в BGN]]*Wet_Wipes[[#This Row],[Поръчано Количество]]</f>
        <v>0</v>
      </c>
      <c r="R425" t="str" cm="1">
        <f t="array" ref="R425">_xlfn.SWITCH(S425,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25" s="6" t="s">
        <v>1631</v>
      </c>
    </row>
    <row r="426" spans="1:19">
      <c r="A426" t="s">
        <v>1689</v>
      </c>
      <c r="B426">
        <v>5</v>
      </c>
      <c r="C426" s="2">
        <f>Wet_Wipes[[#This Row],[Желано количество]]</f>
        <v>5</v>
      </c>
      <c r="D426" s="28">
        <v>46033</v>
      </c>
      <c r="E426" t="s">
        <v>63</v>
      </c>
      <c r="F426" s="30">
        <v>46006.676192129627</v>
      </c>
      <c r="G426" s="62"/>
      <c r="I426" t="s">
        <v>58</v>
      </c>
      <c r="J426" s="28"/>
      <c r="L426" s="28"/>
      <c r="O426" s="2">
        <f>Wet_Wipes[[#This Row],[Цена за 1 бр. в BGN]]*Wet_Wipes[[#This Row],[Поръчано Количество]]</f>
        <v>0</v>
      </c>
      <c r="R426" t="str" cm="1">
        <f t="array" ref="R426">_xlfn.SWITCH(S426,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26" s="6" t="s">
        <v>1631</v>
      </c>
    </row>
    <row r="427" spans="1:19">
      <c r="A427" t="s">
        <v>1690</v>
      </c>
      <c r="B427">
        <v>50</v>
      </c>
      <c r="C427" s="2">
        <f>Wet_Wipes[[#This Row],[Желано количество]]</f>
        <v>50</v>
      </c>
      <c r="D427" s="28">
        <v>46010</v>
      </c>
      <c r="E427" t="s">
        <v>1188</v>
      </c>
      <c r="F427" s="30">
        <v>46006.676666666666</v>
      </c>
      <c r="G427" s="62"/>
      <c r="H427" t="s">
        <v>22</v>
      </c>
      <c r="I427" t="s">
        <v>24</v>
      </c>
      <c r="J427" s="28"/>
      <c r="L427" s="28">
        <v>46028</v>
      </c>
      <c r="M427">
        <v>50</v>
      </c>
      <c r="O427" s="2">
        <f>Wet_Wipes[[#This Row],[Цена за 1 бр. в BGN]]*Wet_Wipes[[#This Row],[Поръчано Количество]]</f>
        <v>0</v>
      </c>
      <c r="R427" t="str" cm="1">
        <f t="array" ref="R427">_xlfn.SWITCH(S427,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27" s="6" t="s">
        <v>1631</v>
      </c>
    </row>
    <row r="428" spans="1:19">
      <c r="A428" t="s">
        <v>1691</v>
      </c>
      <c r="B428">
        <v>30</v>
      </c>
      <c r="C428" s="2">
        <f>Wet_Wipes[[#This Row],[Желано количество]]</f>
        <v>30</v>
      </c>
      <c r="D428" s="28">
        <v>46010</v>
      </c>
      <c r="E428" t="s">
        <v>1188</v>
      </c>
      <c r="F428" s="30">
        <v>46006.677083333336</v>
      </c>
      <c r="G428" s="62"/>
      <c r="H428" t="s">
        <v>22</v>
      </c>
      <c r="I428" t="s">
        <v>24</v>
      </c>
      <c r="J428" s="28"/>
      <c r="L428" s="28">
        <v>46028</v>
      </c>
      <c r="M428">
        <v>30</v>
      </c>
      <c r="O428" s="2">
        <f>Wet_Wipes[[#This Row],[Цена за 1 бр. в BGN]]*Wet_Wipes[[#This Row],[Поръчано Количество]]</f>
        <v>0</v>
      </c>
      <c r="R428" t="str" cm="1">
        <f t="array" ref="R428">_xlfn.SWITCH(S428,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28" s="6" t="s">
        <v>1631</v>
      </c>
    </row>
    <row r="429" spans="1:19">
      <c r="A429" t="s">
        <v>1692</v>
      </c>
      <c r="B429">
        <v>1</v>
      </c>
      <c r="C429" s="2">
        <v>2</v>
      </c>
      <c r="D429" s="28">
        <v>46033</v>
      </c>
      <c r="E429" t="s">
        <v>1212</v>
      </c>
      <c r="F429" s="30">
        <v>46006.677476851852</v>
      </c>
      <c r="G429" s="62"/>
      <c r="I429" t="s">
        <v>221</v>
      </c>
      <c r="J429" s="28"/>
      <c r="L429" s="28"/>
      <c r="O429" s="2">
        <f>Wet_Wipes[[#This Row],[Цена за 1 бр. в BGN]]*Wet_Wipes[[#This Row],[Поръчано Количество]]</f>
        <v>0</v>
      </c>
      <c r="R429" t="str" cm="1">
        <f t="array" ref="R429">_xlfn.SWITCH(S429,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29" s="6" t="s">
        <v>1631</v>
      </c>
    </row>
    <row r="430" spans="1:19">
      <c r="A430" t="s">
        <v>1693</v>
      </c>
      <c r="B430">
        <v>4</v>
      </c>
      <c r="C430" s="2">
        <f>Wet_Wipes[[#This Row],[Желано количество]]</f>
        <v>4</v>
      </c>
      <c r="D430" s="28">
        <v>46033</v>
      </c>
      <c r="E430" t="s">
        <v>1208</v>
      </c>
      <c r="F430" s="30">
        <v>46008.573472222219</v>
      </c>
      <c r="G430" s="62"/>
      <c r="H430" t="s">
        <v>22</v>
      </c>
      <c r="I430" t="s">
        <v>24</v>
      </c>
      <c r="J430" s="28"/>
      <c r="L430" s="28"/>
      <c r="O430" s="2">
        <f>Wet_Wipes[[#This Row],[Цена за 1 бр. в BGN]]*Wet_Wipes[[#This Row],[Поръчано Количество]]</f>
        <v>0</v>
      </c>
      <c r="R430" t="str" cm="1">
        <f t="array" ref="R430">_xlfn.SWITCH(S430,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30" s="6" t="s">
        <v>1631</v>
      </c>
    </row>
    <row r="431" spans="1:19">
      <c r="A431" t="s">
        <v>1694</v>
      </c>
      <c r="B431">
        <v>6</v>
      </c>
      <c r="C431" s="2">
        <f>Wet_Wipes[[#This Row],[Желано количество]]</f>
        <v>6</v>
      </c>
      <c r="D431" s="28">
        <v>46040</v>
      </c>
      <c r="E431" t="s">
        <v>1182</v>
      </c>
      <c r="F431" s="30">
        <v>46009.354895833334</v>
      </c>
      <c r="G431" s="62" t="s">
        <v>1695</v>
      </c>
      <c r="H431" t="s">
        <v>22</v>
      </c>
      <c r="I431" t="s">
        <v>633</v>
      </c>
      <c r="J431" s="28"/>
      <c r="L431" s="28"/>
      <c r="O431" s="2">
        <f>Wet_Wipes[[#This Row],[Цена за 1 бр. в BGN]]*Wet_Wipes[[#This Row],[Поръчано Количество]]</f>
        <v>0</v>
      </c>
      <c r="R431" t="str" cm="1">
        <f t="array" ref="R431">_xlfn.SWITCH(S431,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31" s="6" t="s">
        <v>1631</v>
      </c>
    </row>
    <row r="432" spans="1:19">
      <c r="A432" t="s">
        <v>1696</v>
      </c>
      <c r="B432">
        <v>4</v>
      </c>
      <c r="C432" s="2">
        <v>3</v>
      </c>
      <c r="D432" s="28">
        <v>46022</v>
      </c>
      <c r="E432" t="s">
        <v>1186</v>
      </c>
      <c r="F432" s="30">
        <v>46013.359988425924</v>
      </c>
      <c r="G432" s="62"/>
      <c r="H432" t="s">
        <v>22</v>
      </c>
      <c r="I432" t="s">
        <v>24</v>
      </c>
      <c r="J432" s="28"/>
      <c r="L432" s="28"/>
      <c r="M432">
        <v>3</v>
      </c>
      <c r="N432">
        <v>67.599999999999994</v>
      </c>
      <c r="O432" s="2">
        <f>Wet_Wipes[[#This Row],[Цена за 1 бр. в BGN]]*Wet_Wipes[[#This Row],[Поръчано Количество]]</f>
        <v>202.79999999999998</v>
      </c>
      <c r="R432" t="str" cm="1">
        <f t="array" ref="R432">_xlfn.SWITCH(S432,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32" s="6" t="s">
        <v>461</v>
      </c>
    </row>
    <row r="433" spans="1:19">
      <c r="A433" t="s">
        <v>1697</v>
      </c>
      <c r="B433">
        <v>4</v>
      </c>
      <c r="C433" s="2">
        <f>Wet_Wipes[[#This Row],[Желано количество]]</f>
        <v>4</v>
      </c>
      <c r="D433" s="28">
        <v>46042</v>
      </c>
      <c r="E433" t="s">
        <v>1186</v>
      </c>
      <c r="F433" s="30">
        <v>46028.333483796298</v>
      </c>
      <c r="G433" s="62"/>
      <c r="I433" t="s">
        <v>1325</v>
      </c>
      <c r="J433" s="28"/>
      <c r="L433" s="28"/>
      <c r="O433" s="2">
        <f>Wet_Wipes[[#This Row],[Цена за 1 бр. в BGN]]*Wet_Wipes[[#This Row],[Поръчано Количество]]</f>
        <v>0</v>
      </c>
      <c r="R433" t="str" cm="1">
        <f t="array" ref="R433">_xlfn.SWITCH(S433,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33" s="6" t="s">
        <v>1631</v>
      </c>
    </row>
    <row r="434" spans="1:19">
      <c r="A434" t="s">
        <v>1698</v>
      </c>
      <c r="B434">
        <v>50</v>
      </c>
      <c r="C434" s="2">
        <f>Wet_Wipes[[#This Row],[Желано количество]]</f>
        <v>50</v>
      </c>
      <c r="D434" s="28">
        <v>46055</v>
      </c>
      <c r="E434" t="s">
        <v>1182</v>
      </c>
      <c r="F434" s="30">
        <v>46034.509942129633</v>
      </c>
      <c r="G434" s="62"/>
      <c r="I434" t="s">
        <v>230</v>
      </c>
      <c r="J434" s="28"/>
      <c r="L434" s="28"/>
      <c r="O434" s="2">
        <f>Wet_Wipes[[#This Row],[Цена за 1 бр. в BGN]]*Wet_Wipes[[#This Row],[Поръчано Количество]]</f>
        <v>0</v>
      </c>
      <c r="R434" t="str" cm="1">
        <f t="array" ref="R434">_xlfn.SWITCH(S434,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34" s="6" t="s">
        <v>1631</v>
      </c>
    </row>
    <row r="435" spans="1:19">
      <c r="A435" t="s">
        <v>1699</v>
      </c>
      <c r="B435">
        <v>30</v>
      </c>
      <c r="C435" s="2">
        <f>Wet_Wipes[[#This Row],[Желано количество]]</f>
        <v>30</v>
      </c>
      <c r="D435" s="28">
        <v>46058</v>
      </c>
      <c r="E435" t="s">
        <v>1208</v>
      </c>
      <c r="F435" s="30">
        <v>46036.227222222224</v>
      </c>
      <c r="G435" s="62"/>
      <c r="I435" t="s">
        <v>104</v>
      </c>
      <c r="J435" s="28"/>
      <c r="L435" s="28"/>
      <c r="O435" s="2">
        <f>Wet_Wipes[[#This Row],[Цена за 1 бр. в BGN]]*Wet_Wipes[[#This Row],[Поръчано Количество]]</f>
        <v>0</v>
      </c>
      <c r="R435" t="str" cm="1">
        <f t="array" ref="R435">_xlfn.SWITCH(S435,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35" s="6" t="s">
        <v>1631</v>
      </c>
    </row>
    <row r="436" spans="1:19">
      <c r="A436" t="s">
        <v>1700</v>
      </c>
      <c r="B436">
        <v>20</v>
      </c>
      <c r="C436" s="2">
        <f>Wet_Wipes[[#This Row],[Желано количество]]</f>
        <v>20</v>
      </c>
      <c r="D436" s="28">
        <v>46043</v>
      </c>
      <c r="E436" t="s">
        <v>1212</v>
      </c>
      <c r="F436" s="30">
        <v>46038.196053240739</v>
      </c>
      <c r="G436" s="62" t="s">
        <v>1701</v>
      </c>
      <c r="I436" t="s">
        <v>24</v>
      </c>
      <c r="J436" s="28"/>
      <c r="L436" s="28"/>
      <c r="O436" s="2">
        <f>Wet_Wipes[[#This Row],[Цена за 1 бр. в BGN]]*Wet_Wipes[[#This Row],[Поръчано Количество]]</f>
        <v>0</v>
      </c>
      <c r="R436" t="str" cm="1">
        <f t="array" ref="R436">_xlfn.SWITCH(S436,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36" s="6" t="s">
        <v>1631</v>
      </c>
    </row>
    <row r="437" spans="1:19">
      <c r="A437" t="s">
        <v>1702</v>
      </c>
      <c r="B437">
        <v>20</v>
      </c>
      <c r="C437" s="2">
        <f>Wet_Wipes[[#This Row],[Желано количество]]</f>
        <v>20</v>
      </c>
      <c r="D437" s="28">
        <v>46051</v>
      </c>
      <c r="E437" t="s">
        <v>1188</v>
      </c>
      <c r="F437" s="30">
        <v>46042.207048611112</v>
      </c>
      <c r="G437" s="62" t="s">
        <v>1701</v>
      </c>
      <c r="I437" t="s">
        <v>24</v>
      </c>
      <c r="J437" s="28"/>
      <c r="L437" s="28"/>
      <c r="O437" s="2">
        <f>Wet_Wipes[[#This Row],[Цена за 1 бр. в BGN]]*Wet_Wipes[[#This Row],[Поръчано Количество]]</f>
        <v>0</v>
      </c>
      <c r="R437" t="str" cm="1">
        <f t="array" ref="R437">_xlfn.SWITCH(S437,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37" s="6" t="s">
        <v>1631</v>
      </c>
    </row>
    <row r="438" spans="1:19">
      <c r="A438" t="s">
        <v>1703</v>
      </c>
      <c r="B438">
        <v>10</v>
      </c>
      <c r="C438" s="2">
        <f>Wet_Wipes[[#This Row],[Желано количество]]</f>
        <v>10</v>
      </c>
      <c r="D438" s="28">
        <v>46051</v>
      </c>
      <c r="E438" t="s">
        <v>1186</v>
      </c>
      <c r="F438" s="30">
        <v>46042.208252314813</v>
      </c>
      <c r="G438" s="62" t="s">
        <v>1701</v>
      </c>
      <c r="I438" t="s">
        <v>24</v>
      </c>
      <c r="J438" s="28"/>
      <c r="L438" s="28"/>
      <c r="O438" s="2">
        <f>Wet_Wipes[[#This Row],[Цена за 1 бр. в BGN]]*Wet_Wipes[[#This Row],[Поръчано Количество]]</f>
        <v>0</v>
      </c>
      <c r="R438" t="str" cm="1">
        <f t="array" ref="R438">_xlfn.SWITCH(S438,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38" s="6" t="s">
        <v>1631</v>
      </c>
    </row>
    <row r="439" spans="1:19">
      <c r="A439" t="s">
        <v>1704</v>
      </c>
      <c r="B439">
        <v>10</v>
      </c>
      <c r="C439" s="2">
        <f>Wet_Wipes[[#This Row],[Желано количество]]</f>
        <v>10</v>
      </c>
      <c r="D439" s="28">
        <v>46051</v>
      </c>
      <c r="E439" t="s">
        <v>1186</v>
      </c>
      <c r="F439" s="30">
        <v>46042.208923611113</v>
      </c>
      <c r="G439" s="62" t="s">
        <v>1701</v>
      </c>
      <c r="I439" t="s">
        <v>24</v>
      </c>
      <c r="J439" s="28"/>
      <c r="L439" s="28"/>
      <c r="O439" s="2">
        <f>Wet_Wipes[[#This Row],[Цена за 1 бр. в BGN]]*Wet_Wipes[[#This Row],[Поръчано Количество]]</f>
        <v>0</v>
      </c>
      <c r="R439" t="str" cm="1">
        <f t="array" ref="R439">_xlfn.SWITCH(S439,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39" s="6" t="s">
        <v>1631</v>
      </c>
    </row>
    <row r="440" spans="1:19">
      <c r="A440" t="s">
        <v>1705</v>
      </c>
      <c r="B440">
        <v>100</v>
      </c>
      <c r="C440" s="2">
        <f>Wet_Wipes[[#This Row],[Желано количество]]</f>
        <v>100</v>
      </c>
      <c r="D440" s="28">
        <v>46065</v>
      </c>
      <c r="E440" t="s">
        <v>1182</v>
      </c>
      <c r="F440" s="30">
        <v>46044.328240740739</v>
      </c>
      <c r="G440" s="62"/>
      <c r="I440" t="s">
        <v>230</v>
      </c>
      <c r="J440" s="28"/>
      <c r="L440" s="28"/>
      <c r="O440" s="2">
        <f>Wet_Wipes[[#This Row],[Цена за 1 бр. в BGN]]*Wet_Wipes[[#This Row],[Поръчано Количество]]</f>
        <v>0</v>
      </c>
      <c r="R440" t="str" cm="1">
        <f t="array" ref="R440">_xlfn.SWITCH(S440,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40" s="6" t="s">
        <v>1631</v>
      </c>
    </row>
    <row r="441" spans="1:19">
      <c r="A441" t="s">
        <v>1706</v>
      </c>
      <c r="B441">
        <v>2</v>
      </c>
      <c r="C441" s="2">
        <f>Wet_Wipes[[#This Row],[Желано количество]]</f>
        <v>2</v>
      </c>
      <c r="D441" s="28">
        <v>46058</v>
      </c>
      <c r="E441" t="s">
        <v>1186</v>
      </c>
      <c r="F441" s="30">
        <v>46044.492939814816</v>
      </c>
      <c r="G441" s="62"/>
      <c r="I441" t="s">
        <v>1404</v>
      </c>
      <c r="J441" s="28"/>
      <c r="L441" s="28"/>
      <c r="O441" s="2">
        <f>Wet_Wipes[[#This Row],[Цена за 1 бр. в BGN]]*Wet_Wipes[[#This Row],[Поръчано Количество]]</f>
        <v>0</v>
      </c>
      <c r="R441" t="str" cm="1">
        <f t="array" ref="R441">_xlfn.SWITCH(S441,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41" s="6" t="s">
        <v>1631</v>
      </c>
    </row>
    <row r="442" spans="1:19">
      <c r="A442" t="s">
        <v>1707</v>
      </c>
      <c r="B442">
        <v>2</v>
      </c>
      <c r="C442" s="2">
        <f>Wet_Wipes[[#This Row],[Желано количество]]</f>
        <v>2</v>
      </c>
      <c r="D442" s="28">
        <v>46069</v>
      </c>
      <c r="E442" t="s">
        <v>1182</v>
      </c>
      <c r="F442" s="30">
        <v>46044.493541666663</v>
      </c>
      <c r="G442" s="62"/>
      <c r="I442" t="s">
        <v>48</v>
      </c>
      <c r="J442" s="28"/>
      <c r="L442" s="28"/>
      <c r="O442" s="2">
        <f>Wet_Wipes[[#This Row],[Цена за 1 бр. в BGN]]*Wet_Wipes[[#This Row],[Поръчано Количество]]</f>
        <v>0</v>
      </c>
      <c r="R442" t="str" cm="1">
        <f t="array" ref="R442">_xlfn.SWITCH(S442,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42" s="6" t="s">
        <v>1631</v>
      </c>
    </row>
    <row r="443" spans="1:19">
      <c r="A443" t="s">
        <v>1708</v>
      </c>
      <c r="B443">
        <v>2</v>
      </c>
      <c r="C443" s="2">
        <f>Wet_Wipes[[#This Row],[Желано количество]]</f>
        <v>2</v>
      </c>
      <c r="D443" s="28">
        <v>46071</v>
      </c>
      <c r="E443" t="s">
        <v>1186</v>
      </c>
      <c r="F443" s="30">
        <v>46044.494340277779</v>
      </c>
      <c r="G443" s="62"/>
      <c r="J443" s="28"/>
      <c r="L443" s="28"/>
      <c r="O443" s="2">
        <f>Wet_Wipes[[#This Row],[Цена за 1 бр. в BGN]]*Wet_Wipes[[#This Row],[Поръчано Количество]]</f>
        <v>0</v>
      </c>
      <c r="R443" t="str" cm="1">
        <f t="array" ref="R443">_xlfn.SWITCH(S443,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43" s="6" t="s">
        <v>1631</v>
      </c>
    </row>
    <row r="444" spans="1:19">
      <c r="A444" t="s">
        <v>1709</v>
      </c>
      <c r="B444">
        <v>2</v>
      </c>
      <c r="C444" s="2">
        <f>Wet_Wipes[[#This Row],[Желано количество]]</f>
        <v>2</v>
      </c>
      <c r="D444" s="28">
        <v>46069</v>
      </c>
      <c r="E444" t="s">
        <v>1186</v>
      </c>
      <c r="F444" s="30">
        <v>46044.494791666664</v>
      </c>
      <c r="G444" s="62"/>
      <c r="I444" t="s">
        <v>137</v>
      </c>
      <c r="J444" s="28"/>
      <c r="L444" s="28"/>
      <c r="O444" s="2">
        <f>Wet_Wipes[[#This Row],[Цена за 1 бр. в BGN]]*Wet_Wipes[[#This Row],[Поръчано Количество]]</f>
        <v>0</v>
      </c>
      <c r="R444" t="str" cm="1">
        <f t="array" ref="R444">_xlfn.SWITCH(S444,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Boris Georgiev</v>
      </c>
      <c r="S444" s="6" t="s">
        <v>1631</v>
      </c>
    </row>
    <row r="445" spans="1:19">
      <c r="A445" t="s">
        <v>1710</v>
      </c>
      <c r="B445">
        <v>1</v>
      </c>
      <c r="C445" s="2">
        <f>Wet_Wipes[[#This Row],[Желано количество]]</f>
        <v>1</v>
      </c>
      <c r="D445" s="28">
        <v>46050</v>
      </c>
      <c r="E445" t="s">
        <v>1285</v>
      </c>
      <c r="F445" s="30">
        <v>46048.618530092594</v>
      </c>
      <c r="G445" s="62" t="s">
        <v>1630</v>
      </c>
      <c r="H445" t="s">
        <v>22</v>
      </c>
      <c r="I445" t="s">
        <v>24</v>
      </c>
      <c r="J445" s="28">
        <v>46051</v>
      </c>
      <c r="L445" s="28"/>
      <c r="N445">
        <f>1.95583*249.99</f>
        <v>488.93794170000001</v>
      </c>
      <c r="O445" s="2">
        <f>Wet_Wipes[[#This Row],[Цена за 1 бр. в BGN]]*Wet_Wipes[[#This Row],[Поръчано Количество]]</f>
        <v>488.93794170000001</v>
      </c>
      <c r="R445" t="str" cm="1">
        <f t="array" ref="R445">_xlfn.SWITCH(S445,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45" s="6" t="s">
        <v>461</v>
      </c>
    </row>
    <row r="446" spans="1:19">
      <c r="A446" t="s">
        <v>1711</v>
      </c>
      <c r="B446">
        <v>2</v>
      </c>
      <c r="C446" s="2">
        <f>Wet_Wipes[[#This Row],[Желано количество]]</f>
        <v>2</v>
      </c>
      <c r="D446" s="28">
        <v>46059</v>
      </c>
      <c r="E446" t="s">
        <v>1285</v>
      </c>
      <c r="F446" s="30">
        <v>46050.719027777777</v>
      </c>
      <c r="G446" s="62"/>
      <c r="H446" t="s">
        <v>22</v>
      </c>
      <c r="I446" t="s">
        <v>164</v>
      </c>
      <c r="J446" s="28"/>
      <c r="L446" s="28"/>
      <c r="N446">
        <f>5.18*1.95583</f>
        <v>10.1311994</v>
      </c>
      <c r="O446" s="2">
        <f>Wet_Wipes[[#This Row],[Цена за 1 бр. в BGN]]*Wet_Wipes[[#This Row],[Поръчано Количество]]</f>
        <v>20.2623988</v>
      </c>
      <c r="R446" t="str" cm="1">
        <f t="array" ref="R446">_xlfn.SWITCH(S446,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Iliev</v>
      </c>
      <c r="S446" s="6" t="s">
        <v>423</v>
      </c>
    </row>
    <row r="447" spans="1:19">
      <c r="A447" t="s">
        <v>1712</v>
      </c>
      <c r="B447">
        <v>4</v>
      </c>
      <c r="C447" s="2">
        <f>Wet_Wipes[[#This Row],[Желано количество]]</f>
        <v>4</v>
      </c>
      <c r="D447" s="28">
        <v>46066</v>
      </c>
      <c r="E447" t="s">
        <v>1285</v>
      </c>
      <c r="F447" s="30">
        <v>46050.786782407406</v>
      </c>
      <c r="G447" s="62" t="s">
        <v>1713</v>
      </c>
      <c r="H447" t="s">
        <v>22</v>
      </c>
      <c r="I447" t="s">
        <v>382</v>
      </c>
      <c r="J447" s="28"/>
      <c r="L447" s="28"/>
      <c r="O447" s="2">
        <f>Wet_Wipes[[#This Row],[Цена за 1 бр. в BGN]]*Wet_Wipes[[#This Row],[Поръчано Количество]]</f>
        <v>0</v>
      </c>
      <c r="R447" t="str" cm="1">
        <f t="array" ref="R447">_xlfn.SWITCH(S447,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447" s="6" t="s">
        <v>461</v>
      </c>
    </row>
    <row r="448" spans="1:19">
      <c r="A448" t="s">
        <v>1714</v>
      </c>
      <c r="B448">
        <v>6</v>
      </c>
      <c r="C448" s="2">
        <f>Wet_Wipes[[#This Row],[Желано количество]]</f>
        <v>6</v>
      </c>
      <c r="D448" s="28">
        <v>46066</v>
      </c>
      <c r="E448" t="s">
        <v>1188</v>
      </c>
      <c r="F448" s="30">
        <v>46051.357268518521</v>
      </c>
      <c r="G448" s="62" t="s">
        <v>1715</v>
      </c>
      <c r="H448" t="s">
        <v>22</v>
      </c>
      <c r="I448" t="s">
        <v>633</v>
      </c>
      <c r="J448" s="28">
        <v>46071</v>
      </c>
      <c r="L448" s="28">
        <v>46063</v>
      </c>
      <c r="M448">
        <v>6</v>
      </c>
      <c r="N448">
        <v>24.9</v>
      </c>
      <c r="O448" s="2">
        <f>Wet_Wipes[[#This Row],[Цена за 1 бр. в BGN]]*Wet_Wipes[[#This Row],[Поръчано Количество]]</f>
        <v>149.39999999999998</v>
      </c>
      <c r="R448" t="str" cm="1">
        <f t="array" ref="R448">_xlfn.SWITCH(S448,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Ivailo Iliev</v>
      </c>
      <c r="S448" s="6" t="s">
        <v>423</v>
      </c>
    </row>
    <row r="449" spans="1:19">
      <c r="A449" t="s">
        <v>1999</v>
      </c>
      <c r="B449">
        <v>2</v>
      </c>
      <c r="C449" s="2">
        <f>Wet_Wipes[[#This Row],[Желано количество]]</f>
        <v>2</v>
      </c>
      <c r="D449" s="28">
        <v>46087</v>
      </c>
      <c r="E449" t="s">
        <v>1186</v>
      </c>
      <c r="F449" s="30">
        <v>46076.324837962966</v>
      </c>
      <c r="G449" s="62" t="s">
        <v>2000</v>
      </c>
      <c r="H449" t="s">
        <v>235</v>
      </c>
      <c r="I449" t="s">
        <v>1325</v>
      </c>
      <c r="J449" s="28">
        <v>46101</v>
      </c>
      <c r="L449" s="28"/>
      <c r="N449">
        <f>300*1.95583</f>
        <v>586.74900000000002</v>
      </c>
      <c r="O449" s="2">
        <f>Wet_Wipes[[#This Row],[Цена за 1 бр. в BGN]]*Wet_Wipes[[#This Row],[Поръчано Количество]]</f>
        <v>1173.498</v>
      </c>
      <c r="R449" t="str" cm="1">
        <f t="array" ref="R449">_xlfn.SWITCH(S449,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449" s="6" t="s">
        <v>1040</v>
      </c>
    </row>
    <row r="450" spans="1:19">
      <c r="D450" s="28"/>
      <c r="F450" s="30"/>
      <c r="J450" s="28"/>
      <c r="L450" s="28"/>
    </row>
    <row r="451" spans="1:19">
      <c r="D451" s="28"/>
      <c r="F451" s="30"/>
      <c r="J451" s="28"/>
      <c r="L451" s="28"/>
    </row>
    <row r="452" spans="1:19">
      <c r="D452" s="28"/>
      <c r="F452" s="30"/>
      <c r="J452" s="28"/>
      <c r="L452" s="28"/>
    </row>
    <row r="453" spans="1:19">
      <c r="D453" s="28"/>
      <c r="F453" s="30"/>
      <c r="J453" s="28"/>
      <c r="L453" s="28"/>
    </row>
    <row r="454" spans="1:19">
      <c r="D454" s="28"/>
      <c r="F454" s="30"/>
      <c r="J454" s="28"/>
      <c r="L454" s="28"/>
    </row>
    <row r="455" spans="1:19">
      <c r="D455" s="28"/>
      <c r="F455" s="30"/>
      <c r="J455" s="28"/>
      <c r="L455" s="28"/>
    </row>
    <row r="456" spans="1:19">
      <c r="D456" s="28"/>
      <c r="F456" s="30"/>
      <c r="J456" s="28"/>
      <c r="L456" s="28"/>
    </row>
    <row r="457" spans="1:19">
      <c r="D457" s="28"/>
      <c r="F457" s="30"/>
      <c r="J457" s="28"/>
      <c r="L457" s="28"/>
    </row>
    <row r="458" spans="1:19">
      <c r="D458" s="28"/>
      <c r="F458" s="30"/>
      <c r="J458" s="28"/>
      <c r="L458" s="28"/>
    </row>
    <row r="459" spans="1:19">
      <c r="D459" s="28"/>
      <c r="F459" s="30"/>
      <c r="J459" s="28"/>
      <c r="L459" s="28"/>
    </row>
    <row r="460" spans="1:19">
      <c r="D460" s="28"/>
      <c r="F460" s="30"/>
      <c r="J460" s="28"/>
      <c r="L460" s="28"/>
    </row>
    <row r="461" spans="1:19">
      <c r="D461" s="28"/>
      <c r="F461" s="30"/>
      <c r="J461" s="28"/>
      <c r="L461" s="28"/>
    </row>
    <row r="462" spans="1:19">
      <c r="D462" s="28"/>
      <c r="F462" s="30"/>
      <c r="J462" s="28"/>
      <c r="L462" s="28"/>
    </row>
    <row r="463" spans="1:19">
      <c r="D463" s="28"/>
      <c r="F463" s="30"/>
      <c r="J463" s="28"/>
      <c r="L463" s="28"/>
    </row>
    <row r="464" spans="1:19">
      <c r="D464" s="28"/>
      <c r="F464" s="30"/>
      <c r="J464" s="28"/>
      <c r="L464" s="28"/>
    </row>
    <row r="465" spans="4:12">
      <c r="D465" s="28"/>
      <c r="F465" s="30"/>
      <c r="J465" s="28"/>
      <c r="L465" s="28"/>
    </row>
    <row r="466" spans="4:12">
      <c r="D466" s="28"/>
      <c r="F466" s="30"/>
      <c r="J466" s="28"/>
      <c r="L466" s="28"/>
    </row>
    <row r="467" spans="4:12">
      <c r="D467" s="28"/>
      <c r="F467" s="30"/>
      <c r="J467" s="28"/>
      <c r="L467" s="28"/>
    </row>
    <row r="468" spans="4:12">
      <c r="D468" s="28"/>
      <c r="F468" s="30"/>
      <c r="J468" s="28"/>
      <c r="L468" s="28"/>
    </row>
    <row r="469" spans="4:12">
      <c r="D469" s="28"/>
      <c r="F469" s="30"/>
      <c r="J469" s="28"/>
      <c r="L469" s="28"/>
    </row>
    <row r="470" spans="4:12">
      <c r="D470" s="28"/>
      <c r="F470" s="30"/>
      <c r="J470" s="28"/>
      <c r="L470" s="28"/>
    </row>
    <row r="471" spans="4:12">
      <c r="D471" s="28"/>
      <c r="F471" s="30"/>
      <c r="J471" s="28"/>
      <c r="L471" s="28"/>
    </row>
    <row r="472" spans="4:12">
      <c r="D472" s="28"/>
      <c r="F472" s="30"/>
      <c r="J472" s="28"/>
      <c r="L472" s="28"/>
    </row>
    <row r="473" spans="4:12">
      <c r="D473" s="28"/>
      <c r="F473" s="30"/>
      <c r="J473" s="28"/>
      <c r="L473" s="28"/>
    </row>
    <row r="474" spans="4:12">
      <c r="D474" s="28"/>
      <c r="F474" s="30"/>
      <c r="J474" s="28"/>
      <c r="L474" s="28"/>
    </row>
    <row r="475" spans="4:12">
      <c r="D475" s="28"/>
      <c r="F475" s="30"/>
      <c r="J475" s="28"/>
      <c r="L475" s="28"/>
    </row>
    <row r="476" spans="4:12">
      <c r="D476" s="28"/>
      <c r="F476" s="30"/>
      <c r="J476" s="28"/>
      <c r="L476" s="28"/>
    </row>
    <row r="477" spans="4:12">
      <c r="D477" s="28"/>
      <c r="F477" s="30"/>
      <c r="J477" s="28"/>
      <c r="L477" s="28"/>
    </row>
    <row r="478" spans="4:12">
      <c r="D478" s="28"/>
      <c r="F478" s="30"/>
      <c r="J478" s="28"/>
      <c r="L478" s="28"/>
    </row>
    <row r="479" spans="4:12">
      <c r="D479" s="28"/>
      <c r="F479" s="30"/>
      <c r="J479" s="28"/>
      <c r="L479" s="28"/>
    </row>
    <row r="480" spans="4:12">
      <c r="D480" s="28"/>
      <c r="F480" s="30"/>
      <c r="J480" s="28"/>
      <c r="L480" s="28"/>
    </row>
    <row r="481" spans="4:12">
      <c r="D481" s="28"/>
      <c r="F481" s="30"/>
      <c r="J481" s="28"/>
      <c r="L481" s="28"/>
    </row>
    <row r="482" spans="4:12">
      <c r="D482" s="28"/>
      <c r="F482" s="30"/>
      <c r="J482" s="28"/>
      <c r="L482" s="28"/>
    </row>
    <row r="483" spans="4:12">
      <c r="D483" s="28"/>
      <c r="F483" s="30"/>
      <c r="J483" s="28"/>
      <c r="L483" s="28"/>
    </row>
    <row r="484" spans="4:12">
      <c r="D484" s="28"/>
      <c r="F484" s="30"/>
      <c r="J484" s="28"/>
      <c r="L484" s="28"/>
    </row>
    <row r="485" spans="4:12">
      <c r="D485" s="28"/>
      <c r="F485" s="30"/>
      <c r="J485" s="28"/>
      <c r="L485" s="28"/>
    </row>
    <row r="486" spans="4:12">
      <c r="D486" s="28"/>
      <c r="F486" s="30"/>
      <c r="J486" s="28"/>
      <c r="L486" s="28"/>
    </row>
    <row r="487" spans="4:12">
      <c r="D487" s="28"/>
      <c r="F487" s="30"/>
      <c r="J487" s="28"/>
      <c r="L487" s="28"/>
    </row>
    <row r="488" spans="4:12">
      <c r="D488" s="28"/>
      <c r="F488" s="30"/>
    </row>
    <row r="489" spans="4:12">
      <c r="D489" s="28"/>
      <c r="F489" s="30"/>
    </row>
    <row r="490" spans="4:12">
      <c r="D490" s="28"/>
      <c r="F490" s="30"/>
    </row>
    <row r="491" spans="4:12">
      <c r="D491" s="28"/>
      <c r="F491" s="30"/>
    </row>
    <row r="492" spans="4:12">
      <c r="D492" s="28"/>
      <c r="F492" s="30"/>
    </row>
    <row r="493" spans="4:12">
      <c r="D493" s="28"/>
      <c r="F493" s="30"/>
    </row>
    <row r="494" spans="4:12">
      <c r="D494" s="28"/>
      <c r="F494" s="30"/>
    </row>
    <row r="495" spans="4:12">
      <c r="D495" s="28"/>
      <c r="F495" s="30"/>
    </row>
    <row r="496" spans="4:12">
      <c r="D496" s="28"/>
      <c r="F496" s="30"/>
    </row>
    <row r="497" spans="4:6">
      <c r="D497" s="28"/>
      <c r="F497" s="30"/>
    </row>
    <row r="498" spans="4:6">
      <c r="D498" s="28"/>
      <c r="F498" s="30"/>
    </row>
    <row r="499" spans="4:6">
      <c r="D499" s="28"/>
      <c r="F499" s="30"/>
    </row>
    <row r="500" spans="4:6">
      <c r="D500" s="28"/>
      <c r="F500" s="30"/>
    </row>
    <row r="501" spans="4:6">
      <c r="D501" s="28"/>
      <c r="F501" s="30"/>
    </row>
    <row r="502" spans="4:6">
      <c r="D502" s="28"/>
      <c r="F502" s="30"/>
    </row>
    <row r="503" spans="4:6">
      <c r="D503" s="28"/>
      <c r="F503" s="30"/>
    </row>
    <row r="504" spans="4:6">
      <c r="D504" s="28"/>
      <c r="F504" s="30"/>
    </row>
    <row r="505" spans="4:6">
      <c r="D505" s="28"/>
      <c r="F505" s="30"/>
    </row>
    <row r="506" spans="4:6">
      <c r="D506" s="28"/>
      <c r="F506" s="30"/>
    </row>
    <row r="507" spans="4:6">
      <c r="D507" s="28"/>
      <c r="F507" s="30"/>
    </row>
    <row r="508" spans="4:6">
      <c r="D508" s="28"/>
      <c r="F508" s="30"/>
    </row>
    <row r="509" spans="4:6">
      <c r="D509" s="28"/>
      <c r="F509" s="30"/>
    </row>
    <row r="510" spans="4:6">
      <c r="D510" s="28"/>
      <c r="F510" s="30"/>
    </row>
    <row r="511" spans="4:6">
      <c r="D511" s="28"/>
      <c r="F511" s="30"/>
    </row>
    <row r="512" spans="4:6">
      <c r="D512" s="28"/>
      <c r="F512" s="30"/>
    </row>
    <row r="513" spans="4:6">
      <c r="D513" s="28"/>
      <c r="F513" s="30"/>
    </row>
    <row r="514" spans="4:6">
      <c r="D514" s="28"/>
      <c r="F514" s="30"/>
    </row>
    <row r="515" spans="4:6">
      <c r="D515" s="28"/>
      <c r="F515" s="30"/>
    </row>
    <row r="516" spans="4:6">
      <c r="D516" s="28"/>
      <c r="F516" s="30"/>
    </row>
    <row r="517" spans="4:6">
      <c r="D517" s="28"/>
      <c r="F517" s="30"/>
    </row>
    <row r="518" spans="4:6">
      <c r="D518" s="28"/>
      <c r="F518" s="30"/>
    </row>
    <row r="519" spans="4:6">
      <c r="D519" s="28"/>
      <c r="F519" s="30"/>
    </row>
    <row r="520" spans="4:6">
      <c r="D520" s="28"/>
      <c r="F520" s="30"/>
    </row>
    <row r="521" spans="4:6">
      <c r="D521" s="28"/>
      <c r="F521" s="30"/>
    </row>
    <row r="522" spans="4:6">
      <c r="D522" s="28"/>
      <c r="F522" s="30"/>
    </row>
    <row r="523" spans="4:6">
      <c r="D523" s="28"/>
      <c r="F523" s="30"/>
    </row>
    <row r="524" spans="4:6">
      <c r="D524" s="28"/>
      <c r="F524" s="30"/>
    </row>
    <row r="525" spans="4:6">
      <c r="D525" s="28"/>
      <c r="F525" s="30"/>
    </row>
    <row r="526" spans="4:6">
      <c r="D526" s="28"/>
      <c r="F526" s="30"/>
    </row>
    <row r="527" spans="4:6">
      <c r="D527" s="28"/>
      <c r="F527" s="30"/>
    </row>
    <row r="528" spans="4:6">
      <c r="D528" s="28"/>
      <c r="F528" s="30"/>
    </row>
    <row r="529" spans="4:6">
      <c r="D529" s="28"/>
      <c r="F529" s="30"/>
    </row>
    <row r="530" spans="4:6">
      <c r="D530" s="28"/>
      <c r="F530" s="30"/>
    </row>
    <row r="531" spans="4:6">
      <c r="D531" s="28"/>
      <c r="F531" s="30"/>
    </row>
    <row r="532" spans="4:6">
      <c r="D532" s="28"/>
      <c r="F532" s="30"/>
    </row>
    <row r="533" spans="4:6">
      <c r="D533" s="28"/>
      <c r="F533" s="30"/>
    </row>
    <row r="534" spans="4:6">
      <c r="D534" s="28"/>
      <c r="F534" s="30"/>
    </row>
    <row r="535" spans="4:6">
      <c r="D535" s="28"/>
      <c r="F535" s="30"/>
    </row>
    <row r="536" spans="4:6">
      <c r="D536" s="28"/>
      <c r="F536" s="30"/>
    </row>
    <row r="537" spans="4:6">
      <c r="D537" s="28"/>
      <c r="F537" s="30"/>
    </row>
    <row r="538" spans="4:6">
      <c r="D538" s="28"/>
      <c r="F538" s="30"/>
    </row>
    <row r="539" spans="4:6">
      <c r="D539" s="28"/>
      <c r="F539" s="30"/>
    </row>
    <row r="540" spans="4:6">
      <c r="D540" s="28"/>
      <c r="F540" s="30"/>
    </row>
    <row r="541" spans="4:6">
      <c r="D541" s="28"/>
      <c r="F541" s="30"/>
    </row>
    <row r="542" spans="4:6">
      <c r="D542" s="28"/>
      <c r="F542" s="30"/>
    </row>
    <row r="543" spans="4:6">
      <c r="D543" s="28"/>
      <c r="F543" s="30"/>
    </row>
    <row r="544" spans="4:6">
      <c r="D544" s="28"/>
      <c r="F544" s="30"/>
    </row>
    <row r="545" spans="4:6">
      <c r="D545" s="28"/>
      <c r="F545" s="30"/>
    </row>
    <row r="546" spans="4:6">
      <c r="D546" s="28"/>
      <c r="F546" s="30"/>
    </row>
    <row r="547" spans="4:6">
      <c r="D547" s="28"/>
      <c r="F547" s="30"/>
    </row>
    <row r="548" spans="4:6">
      <c r="D548" s="28"/>
      <c r="F548" s="30"/>
    </row>
    <row r="549" spans="4:6">
      <c r="D549" s="28"/>
      <c r="F549" s="30"/>
    </row>
    <row r="550" spans="4:6">
      <c r="D550" s="28"/>
      <c r="F550" s="30"/>
    </row>
    <row r="551" spans="4:6">
      <c r="D551" s="28"/>
      <c r="F551" s="30"/>
    </row>
    <row r="552" spans="4:6">
      <c r="D552" s="28"/>
      <c r="F552" s="30"/>
    </row>
    <row r="553" spans="4:6">
      <c r="D553" s="28"/>
      <c r="F553" s="30"/>
    </row>
    <row r="554" spans="4:6">
      <c r="D554" s="28"/>
      <c r="F554" s="30"/>
    </row>
    <row r="555" spans="4:6">
      <c r="D555" s="28"/>
      <c r="F555" s="30"/>
    </row>
    <row r="556" spans="4:6">
      <c r="D556" s="28"/>
      <c r="F556" s="30"/>
    </row>
    <row r="557" spans="4:6">
      <c r="D557" s="28"/>
      <c r="F557" s="30"/>
    </row>
    <row r="558" spans="4:6">
      <c r="D558" s="28"/>
      <c r="F558" s="30"/>
    </row>
    <row r="559" spans="4:6">
      <c r="D559" s="28"/>
      <c r="F559" s="30"/>
    </row>
    <row r="560" spans="4:6">
      <c r="D560" s="28"/>
      <c r="F560" s="30"/>
    </row>
    <row r="561" spans="4:6">
      <c r="D561" s="28"/>
      <c r="F561" s="30"/>
    </row>
    <row r="562" spans="4:6">
      <c r="D562" s="28"/>
      <c r="F562" s="30"/>
    </row>
    <row r="563" spans="4:6">
      <c r="D563" s="28"/>
      <c r="F563" s="30"/>
    </row>
    <row r="564" spans="4:6">
      <c r="D564" s="28"/>
      <c r="F564" s="30"/>
    </row>
    <row r="565" spans="4:6">
      <c r="D565" s="28"/>
      <c r="F565" s="30"/>
    </row>
    <row r="566" spans="4:6">
      <c r="D566" s="28"/>
      <c r="F566" s="30"/>
    </row>
    <row r="567" spans="4:6">
      <c r="D567" s="28"/>
      <c r="F567" s="30"/>
    </row>
    <row r="568" spans="4:6">
      <c r="D568" s="28"/>
      <c r="F568" s="30"/>
    </row>
    <row r="569" spans="4:6">
      <c r="D569" s="28"/>
      <c r="F569" s="30"/>
    </row>
    <row r="570" spans="4:6">
      <c r="D570" s="28"/>
      <c r="F570" s="30"/>
    </row>
    <row r="571" spans="4:6">
      <c r="D571" s="28"/>
      <c r="F571" s="30"/>
    </row>
    <row r="572" spans="4:6">
      <c r="D572" s="28"/>
      <c r="F572" s="30"/>
    </row>
    <row r="573" spans="4:6">
      <c r="D573" s="28"/>
      <c r="F573" s="30"/>
    </row>
    <row r="574" spans="4:6">
      <c r="D574" s="28"/>
      <c r="F574" s="30"/>
    </row>
    <row r="575" spans="4:6">
      <c r="D575" s="28"/>
      <c r="F575" s="30"/>
    </row>
    <row r="576" spans="4:6">
      <c r="D576" s="28"/>
      <c r="F576" s="30"/>
    </row>
    <row r="577" spans="4:6">
      <c r="D577" s="28"/>
      <c r="F577" s="30"/>
    </row>
    <row r="578" spans="4:6">
      <c r="D578" s="28"/>
      <c r="F578" s="30"/>
    </row>
    <row r="579" spans="4:6">
      <c r="D579" s="28"/>
      <c r="F579" s="30"/>
    </row>
    <row r="580" spans="4:6">
      <c r="D580" s="28"/>
      <c r="F580" s="30"/>
    </row>
    <row r="581" spans="4:6">
      <c r="D581" s="28"/>
      <c r="F581" s="30"/>
    </row>
    <row r="582" spans="4:6">
      <c r="D582" s="28"/>
      <c r="F582" s="30"/>
    </row>
    <row r="583" spans="4:6">
      <c r="D583" s="28"/>
      <c r="F583" s="30"/>
    </row>
    <row r="584" spans="4:6">
      <c r="D584" s="28"/>
      <c r="F584" s="30"/>
    </row>
    <row r="585" spans="4:6">
      <c r="D585" s="28"/>
      <c r="F585" s="30"/>
    </row>
    <row r="586" spans="4:6">
      <c r="D586" s="28"/>
      <c r="F586" s="30"/>
    </row>
    <row r="587" spans="4:6">
      <c r="D587" s="28"/>
      <c r="F587" s="30"/>
    </row>
    <row r="588" spans="4:6">
      <c r="D588" s="28"/>
      <c r="F588" s="30"/>
    </row>
    <row r="589" spans="4:6">
      <c r="D589" s="28"/>
      <c r="F589" s="30"/>
    </row>
    <row r="590" spans="4:6">
      <c r="D590" s="28"/>
      <c r="F590" s="30"/>
    </row>
    <row r="591" spans="4:6">
      <c r="D591" s="28"/>
      <c r="F591" s="30"/>
    </row>
    <row r="592" spans="4:6">
      <c r="D592" s="28"/>
      <c r="F592" s="30"/>
    </row>
    <row r="593" spans="4:6">
      <c r="D593" s="28"/>
      <c r="F593" s="30"/>
    </row>
    <row r="594" spans="4:6">
      <c r="D594" s="28"/>
      <c r="F594" s="30"/>
    </row>
    <row r="595" spans="4:6">
      <c r="D595" s="28"/>
      <c r="F595" s="30"/>
    </row>
    <row r="596" spans="4:6">
      <c r="D596" s="28"/>
      <c r="F596" s="30"/>
    </row>
    <row r="597" spans="4:6">
      <c r="D597" s="28"/>
      <c r="F597" s="30"/>
    </row>
    <row r="598" spans="4:6">
      <c r="D598" s="28"/>
      <c r="F598" s="30"/>
    </row>
    <row r="599" spans="4:6">
      <c r="D599" s="28"/>
      <c r="F599" s="30"/>
    </row>
    <row r="600" spans="4:6">
      <c r="D600" s="28"/>
      <c r="F600" s="30"/>
    </row>
    <row r="601" spans="4:6">
      <c r="D601" s="28"/>
      <c r="F601" s="30"/>
    </row>
    <row r="602" spans="4:6">
      <c r="D602" s="28"/>
      <c r="F602" s="30"/>
    </row>
    <row r="603" spans="4:6">
      <c r="D603" s="28"/>
      <c r="F603" s="30"/>
    </row>
    <row r="604" spans="4:6">
      <c r="D604" s="28"/>
      <c r="F604" s="30"/>
    </row>
    <row r="605" spans="4:6">
      <c r="D605" s="28"/>
      <c r="F605" s="30"/>
    </row>
    <row r="606" spans="4:6">
      <c r="D606" s="28"/>
      <c r="F606" s="30"/>
    </row>
    <row r="607" spans="4:6">
      <c r="D607" s="28"/>
      <c r="F607" s="30"/>
    </row>
    <row r="608" spans="4:6">
      <c r="D608" s="28"/>
      <c r="F608" s="30"/>
    </row>
    <row r="609" spans="4:6">
      <c r="D609" s="28"/>
      <c r="F609" s="30"/>
    </row>
    <row r="610" spans="4:6">
      <c r="D610" s="28"/>
      <c r="F610" s="30"/>
    </row>
    <row r="611" spans="4:6">
      <c r="D611" s="28"/>
      <c r="F611" s="30"/>
    </row>
    <row r="612" spans="4:6">
      <c r="D612" s="28"/>
      <c r="F612" s="30"/>
    </row>
    <row r="613" spans="4:6">
      <c r="D613" s="28"/>
      <c r="F613" s="30"/>
    </row>
    <row r="614" spans="4:6">
      <c r="D614" s="28"/>
      <c r="F614" s="30"/>
    </row>
    <row r="615" spans="4:6">
      <c r="D615" s="28"/>
      <c r="F615" s="30"/>
    </row>
    <row r="616" spans="4:6">
      <c r="D616" s="28"/>
      <c r="F616" s="30"/>
    </row>
    <row r="617" spans="4:6">
      <c r="D617" s="28"/>
      <c r="F617" s="30"/>
    </row>
    <row r="618" spans="4:6">
      <c r="D618" s="28"/>
      <c r="F618" s="30"/>
    </row>
    <row r="619" spans="4:6">
      <c r="D619" s="28"/>
      <c r="F619" s="30"/>
    </row>
    <row r="620" spans="4:6">
      <c r="D620" s="28"/>
      <c r="F620" s="30"/>
    </row>
    <row r="621" spans="4:6">
      <c r="D621" s="28"/>
      <c r="F621" s="30"/>
    </row>
    <row r="622" spans="4:6">
      <c r="D622" s="28"/>
      <c r="F622" s="30"/>
    </row>
    <row r="623" spans="4:6">
      <c r="D623" s="28"/>
      <c r="F623" s="30"/>
    </row>
    <row r="624" spans="4:6">
      <c r="D624" s="28"/>
      <c r="F624" s="30"/>
    </row>
    <row r="625" spans="4:6">
      <c r="D625" s="28"/>
      <c r="F625" s="30"/>
    </row>
    <row r="626" spans="4:6">
      <c r="D626" s="28"/>
      <c r="F626" s="30"/>
    </row>
    <row r="627" spans="4:6">
      <c r="D627" s="28"/>
      <c r="F627" s="30"/>
    </row>
    <row r="628" spans="4:6">
      <c r="D628" s="28"/>
      <c r="F628" s="30"/>
    </row>
    <row r="629" spans="4:6">
      <c r="D629" s="28"/>
      <c r="F629" s="30"/>
    </row>
    <row r="630" spans="4:6">
      <c r="D630" s="28"/>
      <c r="F630" s="30"/>
    </row>
    <row r="631" spans="4:6">
      <c r="D631" s="28"/>
      <c r="F631" s="30"/>
    </row>
    <row r="632" spans="4:6">
      <c r="D632" s="28"/>
      <c r="F632" s="30"/>
    </row>
    <row r="633" spans="4:6">
      <c r="D633" s="28"/>
      <c r="F633" s="30"/>
    </row>
    <row r="634" spans="4:6">
      <c r="D634" s="28"/>
      <c r="F634" s="30"/>
    </row>
    <row r="635" spans="4:6">
      <c r="D635" s="28"/>
      <c r="F635" s="30"/>
    </row>
    <row r="636" spans="4:6">
      <c r="D636" s="28"/>
      <c r="F636" s="30"/>
    </row>
    <row r="637" spans="4:6">
      <c r="D637" s="28"/>
      <c r="F637" s="30"/>
    </row>
    <row r="638" spans="4:6">
      <c r="D638" s="28"/>
      <c r="F638" s="30"/>
    </row>
    <row r="639" spans="4:6">
      <c r="D639" s="28"/>
      <c r="F639" s="30"/>
    </row>
    <row r="640" spans="4:6">
      <c r="D640" s="28"/>
      <c r="F640" s="30"/>
    </row>
    <row r="641" spans="4:6">
      <c r="D641" s="28"/>
      <c r="F641" s="30"/>
    </row>
    <row r="642" spans="4:6">
      <c r="D642" s="28"/>
      <c r="F642" s="30"/>
    </row>
    <row r="643" spans="4:6">
      <c r="D643" s="28"/>
      <c r="F643" s="30"/>
    </row>
    <row r="644" spans="4:6">
      <c r="D644" s="28"/>
      <c r="F644" s="30"/>
    </row>
    <row r="645" spans="4:6">
      <c r="D645" s="28"/>
      <c r="F645" s="30"/>
    </row>
    <row r="646" spans="4:6">
      <c r="D646" s="28"/>
      <c r="F646" s="30"/>
    </row>
    <row r="647" spans="4:6">
      <c r="D647" s="28"/>
      <c r="F647" s="30"/>
    </row>
    <row r="648" spans="4:6">
      <c r="D648" s="28"/>
      <c r="F648" s="30"/>
    </row>
    <row r="649" spans="4:6">
      <c r="D649" s="28"/>
      <c r="F649" s="30"/>
    </row>
    <row r="650" spans="4:6">
      <c r="D650" s="28"/>
      <c r="F650" s="30"/>
    </row>
    <row r="651" spans="4:6">
      <c r="D651" s="28"/>
      <c r="F651" s="30"/>
    </row>
    <row r="652" spans="4:6">
      <c r="D652" s="28"/>
      <c r="F652" s="30"/>
    </row>
    <row r="653" spans="4:6">
      <c r="D653" s="28"/>
      <c r="F653" s="30"/>
    </row>
    <row r="654" spans="4:6">
      <c r="D654" s="28"/>
      <c r="F654" s="30"/>
    </row>
    <row r="655" spans="4:6">
      <c r="D655" s="28"/>
      <c r="F655" s="30"/>
    </row>
    <row r="656" spans="4:6">
      <c r="D656" s="28"/>
      <c r="F656" s="30"/>
    </row>
    <row r="657" spans="4:6">
      <c r="D657" s="28"/>
      <c r="F657" s="30"/>
    </row>
    <row r="658" spans="4:6">
      <c r="D658" s="28"/>
      <c r="F658" s="30"/>
    </row>
    <row r="659" spans="4:6">
      <c r="D659" s="28"/>
      <c r="F659" s="30"/>
    </row>
    <row r="660" spans="4:6">
      <c r="D660" s="28"/>
      <c r="F660" s="30"/>
    </row>
    <row r="661" spans="4:6">
      <c r="D661" s="28"/>
      <c r="F661" s="30"/>
    </row>
    <row r="662" spans="4:6">
      <c r="D662" s="28"/>
      <c r="F662" s="30"/>
    </row>
    <row r="663" spans="4:6">
      <c r="D663" s="28"/>
      <c r="F663" s="30"/>
    </row>
    <row r="664" spans="4:6">
      <c r="D664" s="28"/>
      <c r="F664" s="30"/>
    </row>
    <row r="665" spans="4:6">
      <c r="D665" s="28"/>
      <c r="F665" s="30"/>
    </row>
    <row r="666" spans="4:6">
      <c r="D666" s="28"/>
      <c r="F666" s="30"/>
    </row>
    <row r="667" spans="4:6">
      <c r="D667" s="28"/>
      <c r="F667" s="30"/>
    </row>
    <row r="668" spans="4:6">
      <c r="D668" s="28"/>
      <c r="F668" s="30"/>
    </row>
    <row r="669" spans="4:6">
      <c r="D669" s="28"/>
      <c r="F669" s="30"/>
    </row>
    <row r="670" spans="4:6">
      <c r="D670" s="28"/>
      <c r="F670" s="30"/>
    </row>
    <row r="671" spans="4:6">
      <c r="D671" s="28"/>
      <c r="F671" s="30"/>
    </row>
    <row r="672" spans="4:6">
      <c r="D672" s="28"/>
      <c r="F672" s="30"/>
    </row>
    <row r="673" spans="4:6">
      <c r="D673" s="28"/>
      <c r="F673" s="30"/>
    </row>
    <row r="674" spans="4:6">
      <c r="D674" s="28"/>
      <c r="F674" s="30"/>
    </row>
    <row r="675" spans="4:6">
      <c r="D675" s="28"/>
      <c r="F675" s="30"/>
    </row>
    <row r="676" spans="4:6">
      <c r="D676" s="28"/>
      <c r="F676" s="30"/>
    </row>
    <row r="677" spans="4:6">
      <c r="D677" s="28"/>
      <c r="F677" s="30"/>
    </row>
    <row r="678" spans="4:6">
      <c r="D678" s="28"/>
      <c r="F678" s="30"/>
    </row>
    <row r="679" spans="4:6">
      <c r="D679" s="28"/>
      <c r="F679" s="30"/>
    </row>
    <row r="680" spans="4:6">
      <c r="D680" s="28"/>
      <c r="F680" s="30"/>
    </row>
    <row r="681" spans="4:6">
      <c r="D681" s="28"/>
      <c r="F681" s="30"/>
    </row>
    <row r="682" spans="4:6">
      <c r="D682" s="28"/>
      <c r="F682" s="30"/>
    </row>
    <row r="683" spans="4:6">
      <c r="D683" s="28"/>
      <c r="F683" s="30"/>
    </row>
    <row r="684" spans="4:6">
      <c r="D684" s="28"/>
      <c r="F684" s="30"/>
    </row>
    <row r="685" spans="4:6">
      <c r="D685" s="28"/>
      <c r="F685" s="30"/>
    </row>
    <row r="686" spans="4:6">
      <c r="D686" s="28"/>
      <c r="F686" s="30"/>
    </row>
    <row r="687" spans="4:6">
      <c r="D687" s="28"/>
      <c r="F687" s="30"/>
    </row>
    <row r="688" spans="4:6">
      <c r="D688" s="28"/>
      <c r="F688" s="30"/>
    </row>
    <row r="689" spans="4:6">
      <c r="D689" s="28"/>
      <c r="F689" s="30"/>
    </row>
    <row r="690" spans="4:6">
      <c r="D690" s="28"/>
      <c r="F690" s="30"/>
    </row>
    <row r="691" spans="4:6">
      <c r="D691" s="28"/>
      <c r="F691" s="30"/>
    </row>
    <row r="692" spans="4:6">
      <c r="D692" s="28"/>
      <c r="F692" s="30"/>
    </row>
    <row r="693" spans="4:6">
      <c r="D693" s="28"/>
      <c r="F693" s="30"/>
    </row>
    <row r="694" spans="4:6">
      <c r="D694" s="28"/>
      <c r="F694" s="30"/>
    </row>
    <row r="695" spans="4:6">
      <c r="D695" s="28"/>
      <c r="F695" s="30"/>
    </row>
    <row r="696" spans="4:6">
      <c r="D696" s="28"/>
      <c r="F696" s="30"/>
    </row>
    <row r="697" spans="4:6">
      <c r="D697" s="28"/>
      <c r="F697" s="30"/>
    </row>
    <row r="698" spans="4:6">
      <c r="D698" s="28"/>
      <c r="F698" s="30"/>
    </row>
    <row r="699" spans="4:6">
      <c r="D699" s="28"/>
      <c r="F699" s="30"/>
    </row>
    <row r="700" spans="4:6">
      <c r="D700" s="28"/>
      <c r="F700" s="30"/>
    </row>
    <row r="701" spans="4:6">
      <c r="D701" s="28"/>
      <c r="F701" s="30"/>
    </row>
    <row r="702" spans="4:6">
      <c r="D702" s="28"/>
      <c r="F702" s="30"/>
    </row>
    <row r="703" spans="4:6">
      <c r="D703" s="28"/>
      <c r="F703" s="30"/>
    </row>
    <row r="704" spans="4:6">
      <c r="D704" s="28"/>
      <c r="F704" s="30"/>
    </row>
    <row r="705" spans="4:6">
      <c r="D705" s="28"/>
      <c r="F705" s="30"/>
    </row>
    <row r="706" spans="4:6">
      <c r="D706" s="28"/>
      <c r="F706" s="30"/>
    </row>
    <row r="707" spans="4:6">
      <c r="D707" s="28"/>
      <c r="F707" s="30"/>
    </row>
    <row r="708" spans="4:6">
      <c r="D708" s="28"/>
      <c r="F708" s="30"/>
    </row>
    <row r="709" spans="4:6">
      <c r="D709" s="28"/>
      <c r="F709" s="30"/>
    </row>
    <row r="710" spans="4:6">
      <c r="D710" s="28"/>
      <c r="F710" s="30"/>
    </row>
    <row r="711" spans="4:6">
      <c r="D711" s="28"/>
      <c r="F711" s="30"/>
    </row>
    <row r="712" spans="4:6">
      <c r="D712" s="28"/>
      <c r="F712" s="30"/>
    </row>
    <row r="713" spans="4:6">
      <c r="D713" s="28"/>
      <c r="F713" s="30"/>
    </row>
    <row r="714" spans="4:6">
      <c r="D714" s="28"/>
      <c r="F714" s="30"/>
    </row>
    <row r="715" spans="4:6">
      <c r="D715" s="28"/>
      <c r="F715" s="30"/>
    </row>
    <row r="716" spans="4:6">
      <c r="D716" s="28"/>
      <c r="F716" s="30"/>
    </row>
    <row r="717" spans="4:6">
      <c r="D717" s="28"/>
      <c r="F717" s="30"/>
    </row>
    <row r="718" spans="4:6">
      <c r="D718" s="28"/>
      <c r="F718" s="30"/>
    </row>
    <row r="719" spans="4:6">
      <c r="D719" s="28"/>
      <c r="F719" s="30"/>
    </row>
    <row r="720" spans="4:6">
      <c r="D720" s="28"/>
      <c r="F720" s="30"/>
    </row>
    <row r="721" spans="4:6">
      <c r="D721" s="28"/>
      <c r="F721" s="30"/>
    </row>
    <row r="722" spans="4:6">
      <c r="D722" s="28"/>
      <c r="F722" s="30"/>
    </row>
    <row r="723" spans="4:6">
      <c r="D723" s="28"/>
      <c r="F723" s="30"/>
    </row>
    <row r="724" spans="4:6">
      <c r="D724" s="28"/>
      <c r="F724" s="30"/>
    </row>
    <row r="725" spans="4:6">
      <c r="D725" s="28"/>
      <c r="F725" s="30"/>
    </row>
    <row r="726" spans="4:6">
      <c r="D726" s="28"/>
      <c r="F726" s="30"/>
    </row>
    <row r="727" spans="4:6">
      <c r="D727" s="28"/>
      <c r="F727" s="30"/>
    </row>
    <row r="728" spans="4:6">
      <c r="D728" s="28"/>
      <c r="F728" s="30"/>
    </row>
    <row r="729" spans="4:6">
      <c r="D729" s="28"/>
      <c r="F729" s="30"/>
    </row>
    <row r="730" spans="4:6">
      <c r="D730" s="28"/>
      <c r="F730" s="30"/>
    </row>
    <row r="731" spans="4:6">
      <c r="D731" s="28"/>
      <c r="F731" s="30"/>
    </row>
    <row r="732" spans="4:6">
      <c r="D732" s="28"/>
      <c r="F732" s="30"/>
    </row>
    <row r="733" spans="4:6">
      <c r="D733" s="28"/>
      <c r="F733" s="30"/>
    </row>
    <row r="734" spans="4:6">
      <c r="D734" s="28"/>
      <c r="F734" s="30"/>
    </row>
    <row r="735" spans="4:6">
      <c r="D735" s="28"/>
      <c r="F735" s="30"/>
    </row>
    <row r="736" spans="4:6">
      <c r="D736" s="28"/>
      <c r="F736" s="30"/>
    </row>
    <row r="737" spans="4:6">
      <c r="D737" s="28"/>
      <c r="F737" s="30"/>
    </row>
    <row r="738" spans="4:6">
      <c r="D738" s="28"/>
      <c r="F738" s="30"/>
    </row>
    <row r="739" spans="4:6">
      <c r="D739" s="28"/>
      <c r="F739" s="30"/>
    </row>
    <row r="740" spans="4:6">
      <c r="D740" s="28"/>
      <c r="F740" s="30"/>
    </row>
    <row r="741" spans="4:6">
      <c r="D741" s="28"/>
      <c r="F741" s="30"/>
    </row>
    <row r="742" spans="4:6">
      <c r="D742" s="28"/>
      <c r="F742" s="30"/>
    </row>
    <row r="743" spans="4:6">
      <c r="D743" s="28"/>
      <c r="F743" s="30"/>
    </row>
    <row r="744" spans="4:6">
      <c r="D744" s="28"/>
      <c r="F744" s="30"/>
    </row>
    <row r="745" spans="4:6">
      <c r="D745" s="28"/>
      <c r="F745" s="30"/>
    </row>
    <row r="746" spans="4:6">
      <c r="D746" s="28"/>
      <c r="F746" s="30"/>
    </row>
    <row r="747" spans="4:6">
      <c r="D747" s="28"/>
      <c r="F747" s="30"/>
    </row>
    <row r="748" spans="4:6">
      <c r="D748" s="28"/>
      <c r="F748" s="30"/>
    </row>
    <row r="749" spans="4:6">
      <c r="D749" s="28"/>
      <c r="F749" s="30"/>
    </row>
    <row r="750" spans="4:6">
      <c r="D750" s="28"/>
      <c r="F750" s="30"/>
    </row>
    <row r="751" spans="4:6">
      <c r="D751" s="28"/>
      <c r="F751" s="30"/>
    </row>
    <row r="752" spans="4:6">
      <c r="D752" s="28"/>
      <c r="F752" s="30"/>
    </row>
    <row r="753" spans="4:6">
      <c r="D753" s="28"/>
      <c r="F753" s="30"/>
    </row>
    <row r="754" spans="4:6">
      <c r="D754" s="28"/>
      <c r="F754" s="30"/>
    </row>
    <row r="755" spans="4:6">
      <c r="D755" s="28"/>
      <c r="F755" s="30"/>
    </row>
    <row r="756" spans="4:6">
      <c r="D756" s="28"/>
      <c r="F756" s="30"/>
    </row>
    <row r="757" spans="4:6">
      <c r="D757" s="28"/>
      <c r="F757" s="30"/>
    </row>
    <row r="758" spans="4:6">
      <c r="D758" s="28"/>
      <c r="F758" s="30"/>
    </row>
    <row r="759" spans="4:6">
      <c r="D759" s="28"/>
      <c r="F759" s="30"/>
    </row>
    <row r="760" spans="4:6">
      <c r="D760" s="28"/>
      <c r="F760" s="30"/>
    </row>
    <row r="761" spans="4:6">
      <c r="D761" s="28"/>
      <c r="F761" s="30"/>
    </row>
    <row r="762" spans="4:6">
      <c r="D762" s="28"/>
      <c r="F762" s="30"/>
    </row>
    <row r="763" spans="4:6">
      <c r="D763" s="28"/>
      <c r="F763" s="30"/>
    </row>
    <row r="764" spans="4:6">
      <c r="D764" s="28"/>
      <c r="F764" s="30"/>
    </row>
    <row r="765" spans="4:6">
      <c r="D765" s="28"/>
      <c r="F765" s="30"/>
    </row>
    <row r="766" spans="4:6">
      <c r="D766" s="28"/>
      <c r="F766" s="30"/>
    </row>
    <row r="767" spans="4:6">
      <c r="D767" s="28"/>
      <c r="F767" s="30"/>
    </row>
    <row r="768" spans="4:6">
      <c r="D768" s="28"/>
      <c r="F768" s="30"/>
    </row>
    <row r="769" spans="4:6">
      <c r="D769" s="28"/>
      <c r="F769" s="30"/>
    </row>
    <row r="770" spans="4:6">
      <c r="D770" s="28"/>
      <c r="F770" s="30"/>
    </row>
    <row r="771" spans="4:6">
      <c r="D771" s="28"/>
    </row>
    <row r="772" spans="4:6">
      <c r="D772" s="28"/>
    </row>
    <row r="773" spans="4:6">
      <c r="D773" s="28"/>
    </row>
    <row r="774" spans="4:6">
      <c r="D774" s="28"/>
    </row>
    <row r="775" spans="4:6">
      <c r="D775" s="28"/>
    </row>
    <row r="776" spans="4:6">
      <c r="D776" s="28"/>
    </row>
    <row r="777" spans="4:6">
      <c r="D777" s="28"/>
    </row>
    <row r="778" spans="4:6">
      <c r="D778" s="28"/>
    </row>
    <row r="779" spans="4:6">
      <c r="D779" s="28"/>
    </row>
    <row r="780" spans="4:6">
      <c r="D780" s="28"/>
    </row>
    <row r="781" spans="4:6">
      <c r="D781" s="28"/>
    </row>
    <row r="782" spans="4:6">
      <c r="D782" s="28"/>
    </row>
    <row r="783" spans="4:6">
      <c r="D783" s="28"/>
    </row>
    <row r="784" spans="4:6">
      <c r="D784" s="28"/>
    </row>
    <row r="785" spans="4:4">
      <c r="D785" s="28"/>
    </row>
    <row r="786" spans="4:4">
      <c r="D786" s="28"/>
    </row>
    <row r="787" spans="4:4">
      <c r="D787" s="28"/>
    </row>
    <row r="788" spans="4:4">
      <c r="D788" s="28"/>
    </row>
    <row r="789" spans="4:4">
      <c r="D789" s="28"/>
    </row>
    <row r="790" spans="4:4">
      <c r="D790" s="28"/>
    </row>
    <row r="791" spans="4:4">
      <c r="D791" s="28"/>
    </row>
    <row r="792" spans="4:4">
      <c r="D792" s="28"/>
    </row>
    <row r="793" spans="4:4">
      <c r="D793" s="28"/>
    </row>
    <row r="794" spans="4:4">
      <c r="D794" s="28"/>
    </row>
    <row r="795" spans="4:4">
      <c r="D795" s="28"/>
    </row>
    <row r="796" spans="4:4">
      <c r="D796" s="28"/>
    </row>
    <row r="797" spans="4:4">
      <c r="D797" s="28"/>
    </row>
    <row r="798" spans="4:4">
      <c r="D798" s="28"/>
    </row>
    <row r="799" spans="4:4">
      <c r="D799" s="28"/>
    </row>
    <row r="800" spans="4:4">
      <c r="D800" s="28"/>
    </row>
    <row r="801" spans="4:4">
      <c r="D801" s="28"/>
    </row>
    <row r="802" spans="4:4">
      <c r="D802" s="28"/>
    </row>
    <row r="803" spans="4:4">
      <c r="D803" s="28"/>
    </row>
    <row r="804" spans="4:4">
      <c r="D804" s="28"/>
    </row>
    <row r="805" spans="4:4">
      <c r="D805" s="28"/>
    </row>
    <row r="806" spans="4:4">
      <c r="D806" s="28"/>
    </row>
    <row r="807" spans="4:4">
      <c r="D807" s="28"/>
    </row>
    <row r="808" spans="4:4">
      <c r="D808" s="28"/>
    </row>
    <row r="809" spans="4:4">
      <c r="D809" s="28"/>
    </row>
    <row r="810" spans="4:4">
      <c r="D810" s="28"/>
    </row>
    <row r="811" spans="4:4">
      <c r="D811" s="28"/>
    </row>
    <row r="812" spans="4:4">
      <c r="D812" s="28"/>
    </row>
    <row r="813" spans="4:4">
      <c r="D813" s="28"/>
    </row>
    <row r="814" spans="4:4">
      <c r="D814" s="28"/>
    </row>
    <row r="815" spans="4:4">
      <c r="D815" s="28"/>
    </row>
    <row r="816" spans="4:4">
      <c r="D816" s="28"/>
    </row>
    <row r="817" spans="4:4">
      <c r="D817" s="28"/>
    </row>
    <row r="818" spans="4:4">
      <c r="D818" s="28"/>
    </row>
    <row r="819" spans="4:4">
      <c r="D819" s="28"/>
    </row>
    <row r="820" spans="4:4">
      <c r="D820" s="28"/>
    </row>
    <row r="821" spans="4:4">
      <c r="D821" s="28"/>
    </row>
    <row r="822" spans="4:4">
      <c r="D822" s="28"/>
    </row>
    <row r="823" spans="4:4">
      <c r="D823" s="28"/>
    </row>
    <row r="824" spans="4:4">
      <c r="D824" s="28"/>
    </row>
    <row r="825" spans="4:4">
      <c r="D825" s="28"/>
    </row>
    <row r="826" spans="4:4">
      <c r="D826" s="28"/>
    </row>
    <row r="827" spans="4:4">
      <c r="D827" s="28"/>
    </row>
    <row r="828" spans="4:4">
      <c r="D828" s="28"/>
    </row>
    <row r="829" spans="4:4">
      <c r="D829" s="28"/>
    </row>
    <row r="830" spans="4:4">
      <c r="D830" s="28"/>
    </row>
    <row r="831" spans="4:4">
      <c r="D831" s="28"/>
    </row>
    <row r="832" spans="4:4">
      <c r="D832" s="28"/>
    </row>
    <row r="833" spans="4:4">
      <c r="D833" s="28"/>
    </row>
    <row r="834" spans="4:4">
      <c r="D834" s="28"/>
    </row>
    <row r="835" spans="4:4">
      <c r="D835" s="28"/>
    </row>
    <row r="836" spans="4:4">
      <c r="D836" s="28"/>
    </row>
    <row r="837" spans="4:4">
      <c r="D837" s="28"/>
    </row>
    <row r="838" spans="4:4">
      <c r="D838" s="28"/>
    </row>
    <row r="839" spans="4:4">
      <c r="D839" s="28"/>
    </row>
    <row r="840" spans="4:4">
      <c r="D840" s="28"/>
    </row>
    <row r="841" spans="4:4">
      <c r="D841" s="28"/>
    </row>
    <row r="842" spans="4:4">
      <c r="D842" s="28"/>
    </row>
    <row r="843" spans="4:4">
      <c r="D843" s="28"/>
    </row>
    <row r="844" spans="4:4">
      <c r="D844" s="28"/>
    </row>
    <row r="845" spans="4:4">
      <c r="D845" s="28"/>
    </row>
    <row r="846" spans="4:4">
      <c r="D846" s="28"/>
    </row>
    <row r="847" spans="4:4">
      <c r="D847" s="28"/>
    </row>
    <row r="848" spans="4:4">
      <c r="D848" s="28"/>
    </row>
    <row r="849" spans="4:4">
      <c r="D849" s="28"/>
    </row>
    <row r="850" spans="4:4">
      <c r="D850" s="28"/>
    </row>
    <row r="851" spans="4:4">
      <c r="D851" s="28"/>
    </row>
    <row r="852" spans="4:4">
      <c r="D852" s="28"/>
    </row>
    <row r="853" spans="4:4">
      <c r="D853" s="28"/>
    </row>
    <row r="854" spans="4:4">
      <c r="D854" s="28"/>
    </row>
    <row r="855" spans="4:4">
      <c r="D855" s="28"/>
    </row>
    <row r="856" spans="4:4">
      <c r="D856" s="28"/>
    </row>
    <row r="857" spans="4:4">
      <c r="D857" s="28"/>
    </row>
    <row r="858" spans="4:4">
      <c r="D858" s="28"/>
    </row>
    <row r="859" spans="4:4">
      <c r="D859" s="28"/>
    </row>
    <row r="860" spans="4:4">
      <c r="D860" s="28"/>
    </row>
    <row r="861" spans="4:4">
      <c r="D861" s="28"/>
    </row>
    <row r="862" spans="4:4">
      <c r="D862" s="28"/>
    </row>
    <row r="863" spans="4:4">
      <c r="D863" s="28"/>
    </row>
    <row r="864" spans="4:4">
      <c r="D864" s="28"/>
    </row>
    <row r="865" spans="4:4">
      <c r="D865" s="28"/>
    </row>
    <row r="866" spans="4:4">
      <c r="D866" s="28"/>
    </row>
    <row r="867" spans="4:4">
      <c r="D867" s="28"/>
    </row>
    <row r="868" spans="4:4">
      <c r="D868" s="28"/>
    </row>
    <row r="869" spans="4:4">
      <c r="D869" s="28"/>
    </row>
    <row r="870" spans="4:4">
      <c r="D870" s="28"/>
    </row>
    <row r="871" spans="4:4">
      <c r="D871" s="28"/>
    </row>
    <row r="872" spans="4:4">
      <c r="D872" s="28"/>
    </row>
    <row r="873" spans="4:4">
      <c r="D873" s="28"/>
    </row>
    <row r="874" spans="4:4">
      <c r="D874" s="28"/>
    </row>
    <row r="875" spans="4:4">
      <c r="D875" s="28"/>
    </row>
    <row r="876" spans="4:4">
      <c r="D876" s="28"/>
    </row>
    <row r="877" spans="4:4">
      <c r="D877" s="28"/>
    </row>
    <row r="878" spans="4:4">
      <c r="D878" s="28"/>
    </row>
    <row r="879" spans="4:4">
      <c r="D879" s="28"/>
    </row>
    <row r="880" spans="4:4">
      <c r="D880" s="28"/>
    </row>
    <row r="881" spans="4:4">
      <c r="D881" s="28"/>
    </row>
    <row r="882" spans="4:4">
      <c r="D882" s="28"/>
    </row>
    <row r="883" spans="4:4">
      <c r="D883" s="28"/>
    </row>
    <row r="884" spans="4:4">
      <c r="D884" s="28"/>
    </row>
    <row r="885" spans="4:4">
      <c r="D885" s="28"/>
    </row>
    <row r="886" spans="4:4">
      <c r="D886" s="28"/>
    </row>
    <row r="887" spans="4:4">
      <c r="D887" s="28"/>
    </row>
    <row r="888" spans="4:4">
      <c r="D888" s="28"/>
    </row>
    <row r="889" spans="4:4">
      <c r="D889" s="28"/>
    </row>
    <row r="890" spans="4:4">
      <c r="D890" s="28"/>
    </row>
    <row r="891" spans="4:4">
      <c r="D891" s="28"/>
    </row>
    <row r="892" spans="4:4">
      <c r="D892" s="28"/>
    </row>
    <row r="893" spans="4:4">
      <c r="D893" s="28"/>
    </row>
    <row r="894" spans="4:4">
      <c r="D894" s="28"/>
    </row>
    <row r="895" spans="4:4">
      <c r="D895" s="28"/>
    </row>
    <row r="896" spans="4:4">
      <c r="D896" s="28"/>
    </row>
    <row r="897" spans="4:4">
      <c r="D897" s="28"/>
    </row>
    <row r="898" spans="4:4">
      <c r="D898" s="28"/>
    </row>
    <row r="899" spans="4:4">
      <c r="D899" s="28"/>
    </row>
    <row r="900" spans="4:4">
      <c r="D900" s="28"/>
    </row>
    <row r="901" spans="4:4">
      <c r="D901" s="28"/>
    </row>
    <row r="902" spans="4:4">
      <c r="D902" s="28"/>
    </row>
    <row r="903" spans="4:4">
      <c r="D903" s="28"/>
    </row>
    <row r="904" spans="4:4">
      <c r="D904" s="28"/>
    </row>
    <row r="905" spans="4:4">
      <c r="D905" s="28"/>
    </row>
    <row r="906" spans="4:4">
      <c r="D906" s="28"/>
    </row>
    <row r="907" spans="4:4">
      <c r="D907" s="28"/>
    </row>
    <row r="908" spans="4:4">
      <c r="D908" s="28"/>
    </row>
    <row r="909" spans="4:4">
      <c r="D909" s="28"/>
    </row>
    <row r="910" spans="4:4">
      <c r="D910" s="28"/>
    </row>
    <row r="911" spans="4:4">
      <c r="D911" s="28"/>
    </row>
    <row r="912" spans="4:4">
      <c r="D912" s="28"/>
    </row>
    <row r="913" spans="4:4">
      <c r="D913" s="28"/>
    </row>
    <row r="914" spans="4:4">
      <c r="D914" s="28"/>
    </row>
    <row r="915" spans="4:4">
      <c r="D915" s="28"/>
    </row>
    <row r="916" spans="4:4">
      <c r="D916" s="28"/>
    </row>
    <row r="917" spans="4:4">
      <c r="D917" s="28"/>
    </row>
    <row r="918" spans="4:4">
      <c r="D918" s="28"/>
    </row>
    <row r="919" spans="4:4">
      <c r="D919" s="28"/>
    </row>
    <row r="920" spans="4:4">
      <c r="D920" s="28"/>
    </row>
    <row r="921" spans="4:4">
      <c r="D921" s="28"/>
    </row>
    <row r="922" spans="4:4">
      <c r="D922" s="28"/>
    </row>
    <row r="923" spans="4:4">
      <c r="D923" s="28"/>
    </row>
    <row r="924" spans="4:4">
      <c r="D924" s="28"/>
    </row>
    <row r="925" spans="4:4">
      <c r="D925" s="28"/>
    </row>
    <row r="926" spans="4:4">
      <c r="D926" s="28"/>
    </row>
    <row r="927" spans="4:4">
      <c r="D927" s="28"/>
    </row>
    <row r="928" spans="4:4">
      <c r="D928" s="28"/>
    </row>
    <row r="929" spans="4:4">
      <c r="D929" s="28"/>
    </row>
    <row r="930" spans="4:4">
      <c r="D930" s="28"/>
    </row>
    <row r="931" spans="4:4">
      <c r="D931" s="28"/>
    </row>
    <row r="932" spans="4:4">
      <c r="D932" s="28"/>
    </row>
    <row r="933" spans="4:4">
      <c r="D933" s="28"/>
    </row>
    <row r="934" spans="4:4">
      <c r="D934" s="28"/>
    </row>
    <row r="935" spans="4:4">
      <c r="D935" s="28"/>
    </row>
    <row r="936" spans="4:4">
      <c r="D936" s="28"/>
    </row>
    <row r="937" spans="4:4">
      <c r="D937" s="28"/>
    </row>
    <row r="938" spans="4:4">
      <c r="D938" s="28"/>
    </row>
    <row r="939" spans="4:4">
      <c r="D939" s="28"/>
    </row>
    <row r="940" spans="4:4">
      <c r="D940" s="28"/>
    </row>
    <row r="941" spans="4:4">
      <c r="D941" s="28"/>
    </row>
    <row r="942" spans="4:4">
      <c r="D942" s="28"/>
    </row>
    <row r="943" spans="4:4">
      <c r="D943" s="28"/>
    </row>
    <row r="944" spans="4:4">
      <c r="D944" s="28"/>
    </row>
    <row r="945" spans="4:4">
      <c r="D945" s="28"/>
    </row>
    <row r="946" spans="4:4">
      <c r="D946" s="28"/>
    </row>
    <row r="947" spans="4:4">
      <c r="D947" s="28"/>
    </row>
    <row r="948" spans="4:4">
      <c r="D948" s="28"/>
    </row>
    <row r="949" spans="4:4">
      <c r="D949" s="28"/>
    </row>
    <row r="950" spans="4:4">
      <c r="D950" s="28"/>
    </row>
    <row r="951" spans="4:4">
      <c r="D951" s="28"/>
    </row>
    <row r="952" spans="4:4">
      <c r="D952" s="28"/>
    </row>
    <row r="953" spans="4:4">
      <c r="D953" s="28"/>
    </row>
    <row r="954" spans="4:4">
      <c r="D954" s="28"/>
    </row>
    <row r="955" spans="4:4">
      <c r="D955" s="28"/>
    </row>
    <row r="956" spans="4:4">
      <c r="D956" s="28"/>
    </row>
    <row r="957" spans="4:4">
      <c r="D957" s="28"/>
    </row>
    <row r="958" spans="4:4">
      <c r="D958" s="28"/>
    </row>
    <row r="959" spans="4:4">
      <c r="D959" s="28"/>
    </row>
    <row r="960" spans="4:4">
      <c r="D960" s="28"/>
    </row>
    <row r="961" spans="4:4">
      <c r="D961" s="28"/>
    </row>
    <row r="962" spans="4:4">
      <c r="D962" s="28"/>
    </row>
    <row r="963" spans="4:4">
      <c r="D963" s="28"/>
    </row>
    <row r="964" spans="4:4">
      <c r="D964" s="28"/>
    </row>
    <row r="965" spans="4:4">
      <c r="D965" s="28"/>
    </row>
    <row r="966" spans="4:4">
      <c r="D966" s="28"/>
    </row>
    <row r="967" spans="4:4">
      <c r="D967" s="28"/>
    </row>
    <row r="968" spans="4:4">
      <c r="D968" s="28"/>
    </row>
    <row r="969" spans="4:4">
      <c r="D969" s="28"/>
    </row>
    <row r="970" spans="4:4">
      <c r="D970" s="28"/>
    </row>
    <row r="971" spans="4:4">
      <c r="D971" s="28"/>
    </row>
    <row r="972" spans="4:4">
      <c r="D972" s="28"/>
    </row>
    <row r="973" spans="4:4">
      <c r="D973" s="28"/>
    </row>
    <row r="974" spans="4:4">
      <c r="D974" s="28"/>
    </row>
    <row r="975" spans="4:4">
      <c r="D975" s="28"/>
    </row>
    <row r="976" spans="4:4">
      <c r="D976" s="28"/>
    </row>
    <row r="977" spans="4:4">
      <c r="D977" s="28"/>
    </row>
    <row r="978" spans="4:4">
      <c r="D978" s="28"/>
    </row>
    <row r="979" spans="4:4">
      <c r="D979" s="28"/>
    </row>
    <row r="980" spans="4:4">
      <c r="D980" s="28"/>
    </row>
    <row r="981" spans="4:4">
      <c r="D981" s="28"/>
    </row>
    <row r="982" spans="4:4">
      <c r="D982" s="28"/>
    </row>
    <row r="983" spans="4:4">
      <c r="D983" s="28"/>
    </row>
    <row r="984" spans="4:4">
      <c r="D984" s="28"/>
    </row>
    <row r="985" spans="4:4">
      <c r="D985" s="28"/>
    </row>
    <row r="986" spans="4:4">
      <c r="D986" s="28"/>
    </row>
    <row r="987" spans="4:4">
      <c r="D987" s="28"/>
    </row>
    <row r="988" spans="4:4">
      <c r="D988" s="28"/>
    </row>
    <row r="989" spans="4:4">
      <c r="D989" s="28"/>
    </row>
    <row r="990" spans="4:4">
      <c r="D990" s="28"/>
    </row>
    <row r="991" spans="4:4">
      <c r="D991" s="28"/>
    </row>
    <row r="992" spans="4:4">
      <c r="D992" s="28"/>
    </row>
    <row r="993" spans="4:4">
      <c r="D993" s="28"/>
    </row>
    <row r="994" spans="4:4">
      <c r="D994" s="28"/>
    </row>
    <row r="995" spans="4:4">
      <c r="D995" s="28"/>
    </row>
    <row r="996" spans="4:4">
      <c r="D996" s="28"/>
    </row>
    <row r="997" spans="4:4">
      <c r="D997" s="28"/>
    </row>
    <row r="998" spans="4:4">
      <c r="D998" s="28"/>
    </row>
    <row r="999" spans="4:4">
      <c r="D999" s="28"/>
    </row>
    <row r="1000" spans="4:4">
      <c r="D1000" s="28"/>
    </row>
    <row r="1001" spans="4:4">
      <c r="D1001" s="28"/>
    </row>
    <row r="1002" spans="4:4">
      <c r="D1002" s="28"/>
    </row>
    <row r="1003" spans="4:4">
      <c r="D1003" s="28"/>
    </row>
    <row r="1004" spans="4:4">
      <c r="D1004" s="28"/>
    </row>
    <row r="1005" spans="4:4">
      <c r="D1005" s="28"/>
    </row>
    <row r="1006" spans="4:4">
      <c r="D1006" s="28"/>
    </row>
    <row r="1007" spans="4:4">
      <c r="D1007" s="28"/>
    </row>
    <row r="1008" spans="4:4">
      <c r="D1008" s="28"/>
    </row>
    <row r="1009" spans="4:4">
      <c r="D1009" s="28"/>
    </row>
    <row r="1010" spans="4:4">
      <c r="D1010" s="28"/>
    </row>
    <row r="1011" spans="4:4">
      <c r="D1011" s="28"/>
    </row>
    <row r="1012" spans="4:4">
      <c r="D1012" s="28"/>
    </row>
    <row r="1013" spans="4:4">
      <c r="D1013" s="28"/>
    </row>
    <row r="1014" spans="4:4">
      <c r="D1014" s="28"/>
    </row>
    <row r="1015" spans="4:4">
      <c r="D1015" s="28"/>
    </row>
    <row r="1016" spans="4:4">
      <c r="D1016" s="28"/>
    </row>
    <row r="1017" spans="4:4">
      <c r="D1017" s="28"/>
    </row>
    <row r="1018" spans="4:4">
      <c r="D1018" s="28"/>
    </row>
    <row r="1019" spans="4:4">
      <c r="D1019" s="28"/>
    </row>
    <row r="1020" spans="4:4">
      <c r="D1020" s="28"/>
    </row>
    <row r="1021" spans="4:4">
      <c r="D1021" s="28"/>
    </row>
    <row r="1022" spans="4:4">
      <c r="D1022" s="28"/>
    </row>
    <row r="1023" spans="4:4">
      <c r="D1023" s="28"/>
    </row>
    <row r="1024" spans="4:4">
      <c r="D1024" s="28"/>
    </row>
    <row r="1025" spans="4:4">
      <c r="D1025" s="28"/>
    </row>
    <row r="1026" spans="4:4">
      <c r="D1026" s="28"/>
    </row>
    <row r="1027" spans="4:4">
      <c r="D1027" s="28"/>
    </row>
    <row r="1028" spans="4:4">
      <c r="D1028" s="28"/>
    </row>
    <row r="1029" spans="4:4">
      <c r="D1029" s="28"/>
    </row>
    <row r="1030" spans="4:4">
      <c r="D1030" s="28"/>
    </row>
    <row r="1031" spans="4:4">
      <c r="D1031" s="28"/>
    </row>
    <row r="1032" spans="4:4">
      <c r="D1032" s="28"/>
    </row>
    <row r="1033" spans="4:4">
      <c r="D1033" s="28"/>
    </row>
    <row r="1034" spans="4:4">
      <c r="D1034" s="28"/>
    </row>
    <row r="1035" spans="4:4">
      <c r="D1035" s="28"/>
    </row>
    <row r="1036" spans="4:4">
      <c r="D1036" s="28"/>
    </row>
    <row r="1037" spans="4:4">
      <c r="D1037" s="28"/>
    </row>
    <row r="1038" spans="4:4">
      <c r="D1038" s="28"/>
    </row>
    <row r="1039" spans="4:4">
      <c r="D1039" s="28"/>
    </row>
    <row r="1040" spans="4:4">
      <c r="D1040" s="28"/>
    </row>
    <row r="1041" spans="4:4">
      <c r="D1041" s="28"/>
    </row>
    <row r="1042" spans="4:4">
      <c r="D1042" s="28"/>
    </row>
    <row r="1043" spans="4:4">
      <c r="D1043" s="28"/>
    </row>
    <row r="1044" spans="4:4">
      <c r="D1044" s="28"/>
    </row>
    <row r="1045" spans="4:4">
      <c r="D1045" s="28"/>
    </row>
    <row r="1046" spans="4:4">
      <c r="D1046" s="28"/>
    </row>
    <row r="1047" spans="4:4">
      <c r="D1047" s="28"/>
    </row>
    <row r="1048" spans="4:4">
      <c r="D1048" s="28"/>
    </row>
    <row r="1049" spans="4:4">
      <c r="D1049" s="28"/>
    </row>
    <row r="1050" spans="4:4">
      <c r="D1050" s="28"/>
    </row>
    <row r="1051" spans="4:4">
      <c r="D1051" s="28"/>
    </row>
    <row r="1052" spans="4:4">
      <c r="D1052" s="28"/>
    </row>
    <row r="1053" spans="4:4">
      <c r="D1053" s="28"/>
    </row>
    <row r="1054" spans="4:4">
      <c r="D1054" s="28"/>
    </row>
    <row r="1055" spans="4:4">
      <c r="D1055" s="28"/>
    </row>
    <row r="1056" spans="4:4">
      <c r="D1056" s="28"/>
    </row>
    <row r="1057" spans="4:4">
      <c r="D1057" s="28"/>
    </row>
    <row r="1058" spans="4:4">
      <c r="D1058" s="28"/>
    </row>
    <row r="1059" spans="4:4">
      <c r="D1059" s="28"/>
    </row>
    <row r="1060" spans="4:4">
      <c r="D1060" s="28"/>
    </row>
    <row r="1061" spans="4:4">
      <c r="D1061" s="28"/>
    </row>
    <row r="1062" spans="4:4">
      <c r="D1062" s="28"/>
    </row>
    <row r="1063" spans="4:4">
      <c r="D1063" s="28"/>
    </row>
    <row r="1064" spans="4:4">
      <c r="D1064" s="28"/>
    </row>
    <row r="1065" spans="4:4">
      <c r="D1065" s="28"/>
    </row>
    <row r="1066" spans="4:4">
      <c r="D1066" s="28"/>
    </row>
    <row r="1067" spans="4:4">
      <c r="D1067" s="28"/>
    </row>
    <row r="1068" spans="4:4">
      <c r="D1068" s="28"/>
    </row>
    <row r="1069" spans="4:4">
      <c r="D1069" s="28"/>
    </row>
    <row r="1070" spans="4:4">
      <c r="D1070" s="28"/>
    </row>
    <row r="1071" spans="4:4">
      <c r="D1071" s="28"/>
    </row>
    <row r="1072" spans="4:4">
      <c r="D1072" s="28"/>
    </row>
    <row r="1073" spans="4:4">
      <c r="D1073" s="28"/>
    </row>
    <row r="1074" spans="4:4">
      <c r="D1074" s="28"/>
    </row>
    <row r="1075" spans="4:4">
      <c r="D1075" s="28"/>
    </row>
    <row r="1076" spans="4:4">
      <c r="D1076" s="28"/>
    </row>
    <row r="1077" spans="4:4">
      <c r="D1077" s="28"/>
    </row>
    <row r="1078" spans="4:4" ht="15" customHeight="1">
      <c r="D1078" s="28"/>
    </row>
    <row r="1079" spans="4:4" ht="15" customHeight="1">
      <c r="D1079" s="28"/>
    </row>
    <row r="1080" spans="4:4" ht="15" customHeight="1">
      <c r="D1080" s="28"/>
    </row>
    <row r="1081" spans="4:4" ht="15" customHeight="1">
      <c r="D1081" s="28"/>
    </row>
    <row r="1082" spans="4:4" ht="15" customHeight="1">
      <c r="D1082" s="28"/>
    </row>
    <row r="1083" spans="4:4" ht="15" customHeight="1">
      <c r="D1083" s="28"/>
    </row>
    <row r="1084" spans="4:4" ht="15" customHeight="1">
      <c r="D1084" s="28"/>
    </row>
    <row r="1085" spans="4:4" ht="15" customHeight="1">
      <c r="D1085" s="28"/>
    </row>
    <row r="1086" spans="4:4" ht="15" customHeight="1">
      <c r="D1086" s="28"/>
    </row>
    <row r="1087" spans="4:4" ht="15" customHeight="1">
      <c r="D1087" s="28"/>
    </row>
    <row r="1088" spans="4:4" ht="15" customHeight="1">
      <c r="D1088" s="28"/>
    </row>
    <row r="1089" spans="4:4" ht="15" customHeight="1">
      <c r="D1089" s="28"/>
    </row>
    <row r="1090" spans="4:4" ht="15" customHeight="1">
      <c r="D1090" s="28"/>
    </row>
    <row r="1091" spans="4:4" ht="15" customHeight="1">
      <c r="D1091" s="28"/>
    </row>
    <row r="1092" spans="4:4" ht="15" customHeight="1">
      <c r="D1092" s="28"/>
    </row>
    <row r="1093" spans="4:4" ht="15" customHeight="1">
      <c r="D1093" s="28"/>
    </row>
    <row r="1094" spans="4:4" ht="15" customHeight="1">
      <c r="D1094" s="28"/>
    </row>
    <row r="1095" spans="4:4" ht="15" customHeight="1">
      <c r="D1095" s="28"/>
    </row>
    <row r="1096" spans="4:4" ht="15" customHeight="1">
      <c r="D1096" s="28"/>
    </row>
    <row r="1097" spans="4:4" ht="15" customHeight="1">
      <c r="D1097" s="28"/>
    </row>
    <row r="1098" spans="4:4" ht="15" customHeight="1">
      <c r="D1098" s="28"/>
    </row>
    <row r="1099" spans="4:4" ht="15" customHeight="1">
      <c r="D1099" s="28"/>
    </row>
    <row r="1100" spans="4:4" ht="15" customHeight="1">
      <c r="D1100" s="28"/>
    </row>
    <row r="1101" spans="4:4" ht="15" customHeight="1">
      <c r="D1101" s="28"/>
    </row>
    <row r="1102" spans="4:4" ht="15" customHeight="1">
      <c r="D1102" s="28"/>
    </row>
    <row r="1103" spans="4:4" ht="15" customHeight="1">
      <c r="D1103" s="28"/>
    </row>
    <row r="1104" spans="4:4" ht="15" customHeight="1">
      <c r="D1104" s="28"/>
    </row>
    <row r="1105" spans="4:4" ht="15" customHeight="1">
      <c r="D1105" s="28"/>
    </row>
    <row r="1106" spans="4:4" ht="15" customHeight="1">
      <c r="D1106" s="28"/>
    </row>
    <row r="1107" spans="4:4" ht="15" customHeight="1">
      <c r="D1107" s="28"/>
    </row>
    <row r="1108" spans="4:4" ht="15" customHeight="1">
      <c r="D1108" s="28"/>
    </row>
    <row r="1109" spans="4:4" ht="15" customHeight="1">
      <c r="D1109" s="28"/>
    </row>
    <row r="1110" spans="4:4" ht="15" customHeight="1">
      <c r="D1110" s="28"/>
    </row>
    <row r="1111" spans="4:4" ht="15" customHeight="1">
      <c r="D1111" s="28"/>
    </row>
    <row r="1112" spans="4:4" ht="15" customHeight="1">
      <c r="D1112" s="28"/>
    </row>
    <row r="1113" spans="4:4" ht="15" customHeight="1">
      <c r="D1113" s="28"/>
    </row>
    <row r="1114" spans="4:4" ht="15" customHeight="1">
      <c r="D1114" s="28"/>
    </row>
    <row r="1115" spans="4:4" ht="15" customHeight="1">
      <c r="D1115" s="28"/>
    </row>
    <row r="1116" spans="4:4" ht="15" customHeight="1">
      <c r="D1116" s="28"/>
    </row>
    <row r="1117" spans="4:4" ht="15" customHeight="1">
      <c r="D1117" s="28"/>
    </row>
    <row r="1118" spans="4:4" ht="15" customHeight="1">
      <c r="D1118" s="28"/>
    </row>
    <row r="1119" spans="4:4" ht="15" customHeight="1">
      <c r="D1119" s="28"/>
    </row>
    <row r="1120" spans="4:4" ht="15" customHeight="1">
      <c r="D1120" s="28"/>
    </row>
    <row r="1121" spans="4:4" ht="15" customHeight="1">
      <c r="D1121" s="28"/>
    </row>
    <row r="1122" spans="4:4" ht="15" customHeight="1">
      <c r="D1122" s="28"/>
    </row>
    <row r="1123" spans="4:4" ht="15" customHeight="1">
      <c r="D1123" s="28"/>
    </row>
    <row r="1124" spans="4:4" ht="15" customHeight="1">
      <c r="D1124" s="28"/>
    </row>
    <row r="1125" spans="4:4" ht="15" customHeight="1">
      <c r="D1125" s="28"/>
    </row>
    <row r="1126" spans="4:4" ht="15" customHeight="1">
      <c r="D1126" s="28"/>
    </row>
    <row r="1127" spans="4:4" ht="15" customHeight="1">
      <c r="D1127" s="28"/>
    </row>
    <row r="1128" spans="4:4" ht="15" customHeight="1">
      <c r="D1128" s="28"/>
    </row>
    <row r="1129" spans="4:4" ht="15" customHeight="1">
      <c r="D1129" s="28"/>
    </row>
  </sheetData>
  <phoneticPr fontId="16" type="noConversion"/>
  <conditionalFormatting sqref="D2:D1042">
    <cfRule type="expression" dxfId="5" priority="1">
      <formula>AND(D2=TODAY(), H2&lt;&gt;"Доставено")</formula>
    </cfRule>
    <cfRule type="expression" dxfId="4" priority="2">
      <formula>AND(D2&gt;=TODAY()-30, D2&lt;=TODAY()-1, H2&lt;&gt;"Доставено")</formula>
    </cfRule>
    <cfRule type="expression" dxfId="3" priority="3">
      <formula>AND(D2&gt;=TODAY(), D2&lt;=TODAY()+7)</formula>
    </cfRule>
  </conditionalFormatting>
  <hyperlinks>
    <hyperlink ref="S395" r:id="rId1" xr:uid="{995AA0EF-F421-4657-A582-2E2703573BDF}"/>
    <hyperlink ref="S396:S397" r:id="rId2" display="dmitev@septona-bg.com" xr:uid="{ACC7F834-04BD-421B-BB07-F46AA1C89DDA}"/>
    <hyperlink ref="S421" r:id="rId3" xr:uid="{DD56B3A3-95BD-4879-BAAB-AEBC5B4F7B73}"/>
    <hyperlink ref="S420" r:id="rId4" xr:uid="{079324EE-2EAC-4D5E-B5D4-C67DED7B5C4B}"/>
    <hyperlink ref="S380" r:id="rId5" xr:uid="{1AE2039D-1FEE-44F2-BA49-CF5CE420A8BD}"/>
    <hyperlink ref="S381" r:id="rId6" xr:uid="{3B393548-8FC2-4CA4-BB8C-6EC75ADAC753}"/>
    <hyperlink ref="S446" r:id="rId7" xr:uid="{4705F4B8-D350-409F-9D49-7D2A9B27057F}"/>
    <hyperlink ref="S448" r:id="rId8" xr:uid="{70EC3ABF-AD19-41BF-A7D8-CA160A951404}"/>
    <hyperlink ref="S449" r:id="rId9" xr:uid="{44F7FD6F-7321-42E4-8B1B-51EFC85969BC}"/>
  </hyperlinks>
  <pageMargins left="0.25" right="0.25" top="0.75" bottom="0.75" header="0.3" footer="0.3"/>
  <pageSetup paperSize="9" scale="39" fitToHeight="0" orientation="landscape" horizontalDpi="4294967293" verticalDpi="0" r:id="rId10"/>
  <tableParts count="1">
    <tablePart r:id="rId1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0FACD81-FC81-D247-AC0A-67E6F0D64145}">
          <x14:formula1>
            <xm:f>Reference!$C$2:$C$135</xm:f>
          </x14:formula1>
          <xm:sqref>I4:I108 I111:I116 I120:I141 I144:I146 I149 I152:I171 I173 I175:I176 I178:I179 I183:I188 I190:I199 I201:I203 I207</xm:sqref>
        </x14:dataValidation>
        <x14:dataValidation type="list" allowBlank="1" showInputMessage="1" showErrorMessage="1" xr:uid="{C6614D15-92F7-40CB-9EC5-BA2877EEDAAB}">
          <x14:formula1>
            <xm:f>Reference!$C$2:$C$300</xm:f>
          </x14:formula1>
          <xm:sqref>I109:I110 I117:I119 I142:I143 I147:I148 I150:I151 I172 I174 I177 I180:I182 I189 I200 I204:I206 I208:I449</xm:sqref>
        </x14:dataValidation>
        <x14:dataValidation type="list" allowBlank="1" showInputMessage="1" showErrorMessage="1" xr:uid="{68955197-2BDA-9B4A-B408-39E6BD21ACE2}">
          <x14:formula1>
            <xm:f>Reference!$A$2:$A$13</xm:f>
          </x14:formula1>
          <xm:sqref>G399 H4:H449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23FA-39B6-7640-AF3F-70B6D00F90D2}">
  <dimension ref="A2:S679"/>
  <sheetViews>
    <sheetView showGridLines="0" zoomScale="145" zoomScaleNormal="145" workbookViewId="0">
      <pane ySplit="3" topLeftCell="A89" activePane="bottomLeft" state="frozen"/>
      <selection activeCell="A258" sqref="A258"/>
      <selection pane="bottomLeft" activeCell="A94" sqref="A94"/>
    </sheetView>
  </sheetViews>
  <sheetFormatPr defaultColWidth="8.85546875" defaultRowHeight="15" customHeight="1"/>
  <cols>
    <col min="1" max="1" width="38.140625" customWidth="1"/>
    <col min="2" max="2" width="10.28515625" customWidth="1"/>
    <col min="3" max="3" width="11.7109375" customWidth="1"/>
    <col min="4" max="4" width="11.28515625" customWidth="1"/>
    <col min="5" max="5" width="15" customWidth="1"/>
    <col min="6" max="6" width="16.42578125" customWidth="1"/>
    <col min="7" max="7" width="16.28515625" customWidth="1"/>
    <col min="8" max="8" width="14.42578125" customWidth="1"/>
    <col min="9" max="9" width="15.140625" customWidth="1"/>
    <col min="10" max="10" width="12.42578125" customWidth="1"/>
    <col min="11" max="11" width="18.28515625" customWidth="1"/>
    <col min="12" max="12" width="11.28515625" customWidth="1"/>
    <col min="13" max="13" width="16" customWidth="1"/>
    <col min="14" max="14" width="10.28515625" customWidth="1"/>
    <col min="15" max="15" width="13.7109375" customWidth="1"/>
    <col min="16" max="16" width="12.42578125" customWidth="1"/>
    <col min="17" max="18" width="17.42578125" customWidth="1"/>
    <col min="19" max="19" width="18.7109375" customWidth="1"/>
  </cols>
  <sheetData>
    <row r="2" spans="1:19" ht="7.5" customHeight="1"/>
    <row r="3" spans="1:19" s="22" customFormat="1" ht="47.25" customHeight="1">
      <c r="A3" s="21" t="s">
        <v>0</v>
      </c>
      <c r="B3" s="21" t="s">
        <v>1</v>
      </c>
      <c r="C3" s="21" t="s">
        <v>2</v>
      </c>
      <c r="D3" s="21" t="s">
        <v>3</v>
      </c>
      <c r="E3" s="21" t="s">
        <v>4</v>
      </c>
      <c r="F3" s="21" t="s">
        <v>6</v>
      </c>
      <c r="G3" s="21" t="s">
        <v>591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16</v>
      </c>
      <c r="Q3" s="21" t="s">
        <v>17</v>
      </c>
      <c r="R3" s="21" t="s">
        <v>593</v>
      </c>
      <c r="S3" s="21" t="s">
        <v>19</v>
      </c>
    </row>
    <row r="4" spans="1:19" s="1" customFormat="1" ht="30">
      <c r="A4" s="1" t="s">
        <v>1716</v>
      </c>
      <c r="B4" s="1">
        <v>12</v>
      </c>
      <c r="C4" s="1">
        <v>12</v>
      </c>
      <c r="D4" s="27">
        <v>45714</v>
      </c>
      <c r="E4" s="1" t="s">
        <v>1717</v>
      </c>
      <c r="F4" s="33">
        <v>45714.301134259258</v>
      </c>
      <c r="G4" s="1" t="s">
        <v>22</v>
      </c>
      <c r="H4" s="1" t="s">
        <v>1718</v>
      </c>
      <c r="I4" s="1" t="s">
        <v>101</v>
      </c>
      <c r="J4" s="27">
        <v>45715</v>
      </c>
      <c r="L4" s="27"/>
      <c r="N4" s="1">
        <v>7.08</v>
      </c>
      <c r="O4" s="1">
        <f>paper_sticks[[#This Row],[Цена за 1 бр. в BGN]]*paper_sticks[[#This Row],[Поръчано Количество]]</f>
        <v>84.960000000000008</v>
      </c>
      <c r="R4" s="1" t="str" cm="1">
        <f t="array" ref="R4">_xlfn.SWITCH(S4,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5" spans="1:19" s="1" customFormat="1" ht="30">
      <c r="A5" s="1" t="s">
        <v>1719</v>
      </c>
      <c r="B5" s="1">
        <v>40</v>
      </c>
      <c r="C5" s="1">
        <v>40</v>
      </c>
      <c r="D5" s="27">
        <v>45743</v>
      </c>
      <c r="E5" s="1" t="s">
        <v>1717</v>
      </c>
      <c r="F5" s="33">
        <v>45714.318402777775</v>
      </c>
      <c r="G5" s="1" t="s">
        <v>22</v>
      </c>
      <c r="H5" s="1" t="s">
        <v>1720</v>
      </c>
      <c r="I5" s="1" t="s">
        <v>1721</v>
      </c>
      <c r="J5" s="27">
        <v>45736</v>
      </c>
      <c r="K5" s="1" t="s">
        <v>1722</v>
      </c>
      <c r="L5" s="27" t="s">
        <v>1723</v>
      </c>
      <c r="M5" s="1">
        <v>40</v>
      </c>
      <c r="N5" s="1">
        <f>40.06</f>
        <v>40.06</v>
      </c>
      <c r="O5" s="1">
        <f>paper_sticks[[#This Row],[Цена за 1 бр. в BGN]]*paper_sticks[[#This Row],[Поръчано Количество]]</f>
        <v>1602.4</v>
      </c>
      <c r="Q5" s="1" t="s">
        <v>1724</v>
      </c>
      <c r="R5" s="1" t="str" cm="1">
        <f t="array" ref="R5">_xlfn.SWITCH(S5,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6" spans="1:19" s="1" customFormat="1" ht="30">
      <c r="A6" s="1" t="s">
        <v>1725</v>
      </c>
      <c r="B6" s="1">
        <v>100</v>
      </c>
      <c r="D6" s="27">
        <v>45743</v>
      </c>
      <c r="E6" s="1" t="s">
        <v>1717</v>
      </c>
      <c r="F6" s="33">
        <v>45714.323900462965</v>
      </c>
      <c r="G6" s="1" t="s">
        <v>30</v>
      </c>
      <c r="J6" s="27"/>
      <c r="L6" s="27"/>
      <c r="O6" s="1">
        <f>paper_sticks[[#This Row],[Цена за 1 бр. в BGN]]*paper_sticks[[#This Row],[Поръчано Количество]]</f>
        <v>0</v>
      </c>
      <c r="R6" s="1" t="str" cm="1">
        <f t="array" ref="R6">_xlfn.SWITCH(S6,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7" spans="1:19" s="1" customFormat="1" ht="45">
      <c r="A7" s="1" t="s">
        <v>1726</v>
      </c>
      <c r="B7" s="1">
        <v>200</v>
      </c>
      <c r="C7" s="1">
        <v>145</v>
      </c>
      <c r="D7" s="27">
        <v>45716</v>
      </c>
      <c r="E7" s="1" t="s">
        <v>1717</v>
      </c>
      <c r="F7" s="33">
        <v>45714.328518518516</v>
      </c>
      <c r="G7" s="1" t="s">
        <v>22</v>
      </c>
      <c r="H7" s="1">
        <v>154563</v>
      </c>
      <c r="I7" s="1" t="s">
        <v>1727</v>
      </c>
      <c r="J7" s="27">
        <v>45716</v>
      </c>
      <c r="L7" s="27"/>
      <c r="N7" s="1">
        <v>1.1299999999999999</v>
      </c>
      <c r="O7" s="1">
        <f>paper_sticks[[#This Row],[Цена за 1 бр. в BGN]]*paper_sticks[[#This Row],[Поръчано Количество]]</f>
        <v>163.85</v>
      </c>
      <c r="R7" s="1" t="str" cm="1">
        <f t="array" ref="R7">_xlfn.SWITCH(S7,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8" spans="1:19" s="1" customFormat="1" ht="30">
      <c r="A8" s="1" t="s">
        <v>1728</v>
      </c>
      <c r="B8" s="1">
        <v>32</v>
      </c>
      <c r="C8" s="1">
        <v>32</v>
      </c>
      <c r="D8" s="27">
        <v>45722</v>
      </c>
      <c r="E8" s="1" t="s">
        <v>1717</v>
      </c>
      <c r="F8" s="33">
        <v>45714.385324074072</v>
      </c>
      <c r="G8" s="1" t="s">
        <v>22</v>
      </c>
      <c r="H8" s="1" t="s">
        <v>1729</v>
      </c>
      <c r="I8" s="1" t="s">
        <v>1721</v>
      </c>
      <c r="J8" s="27">
        <v>45728</v>
      </c>
      <c r="L8" s="27"/>
      <c r="N8" s="19">
        <f>39.23*1.95568</f>
        <v>76.721326399999995</v>
      </c>
      <c r="O8" s="19">
        <f>paper_sticks[[#This Row],[Цена за 1 бр. в BGN]]*paper_sticks[[#This Row],[Поръчано Количество]]</f>
        <v>2455.0824447999998</v>
      </c>
      <c r="R8" s="1" t="str" cm="1">
        <f t="array" ref="R8">_xlfn.SWITCH(S8,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</row>
    <row r="9" spans="1:19" ht="45">
      <c r="A9" s="1" t="s">
        <v>1730</v>
      </c>
      <c r="B9" s="1">
        <v>8</v>
      </c>
      <c r="C9" s="1"/>
      <c r="D9" s="27">
        <v>45737</v>
      </c>
      <c r="E9" s="1" t="s">
        <v>1717</v>
      </c>
      <c r="F9" s="33">
        <v>45717.575821759259</v>
      </c>
      <c r="G9" s="1" t="s">
        <v>1731</v>
      </c>
      <c r="H9" s="1"/>
      <c r="I9" s="1"/>
      <c r="J9" s="27"/>
      <c r="K9" s="1"/>
      <c r="L9" s="27"/>
      <c r="M9" s="1"/>
      <c r="N9" s="19"/>
      <c r="O9" s="1">
        <f>paper_sticks[[#This Row],[Цена за 1 бр. в BGN]]*paper_sticks[[#This Row],[Поръчано Количество]]</f>
        <v>0</v>
      </c>
      <c r="P9" s="1"/>
      <c r="Q9" s="1"/>
      <c r="R9" s="1" t="str" cm="1">
        <f t="array" ref="R9">_xlfn.SWITCH(S9,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9" s="1"/>
    </row>
    <row r="10" spans="1:19" ht="45">
      <c r="A10" s="1" t="s">
        <v>1732</v>
      </c>
      <c r="B10" s="1">
        <v>8</v>
      </c>
      <c r="C10" s="1"/>
      <c r="D10" s="27">
        <v>45730</v>
      </c>
      <c r="E10" s="1" t="s">
        <v>1717</v>
      </c>
      <c r="F10" s="33">
        <v>45717.576180555552</v>
      </c>
      <c r="G10" s="1" t="s">
        <v>1731</v>
      </c>
      <c r="H10" s="1"/>
      <c r="I10" s="1"/>
      <c r="J10" s="27"/>
      <c r="K10" s="1"/>
      <c r="L10" s="27"/>
      <c r="M10" s="1"/>
      <c r="N10" s="19"/>
      <c r="O10" s="1">
        <f>paper_sticks[[#This Row],[Цена за 1 бр. в BGN]]*paper_sticks[[#This Row],[Поръчано Количество]]</f>
        <v>0</v>
      </c>
      <c r="P10" s="1"/>
      <c r="Q10" s="1"/>
      <c r="R10" s="1" t="str" cm="1">
        <f t="array" ref="R10">_xlfn.SWITCH(S10,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0" s="1"/>
    </row>
    <row r="11" spans="1:19" ht="30">
      <c r="A11" s="1" t="s">
        <v>1733</v>
      </c>
      <c r="B11" s="1">
        <v>2</v>
      </c>
      <c r="C11" s="1"/>
      <c r="D11" s="27">
        <v>45720</v>
      </c>
      <c r="E11" s="1" t="s">
        <v>1734</v>
      </c>
      <c r="F11" s="33">
        <v>45720.265057870369</v>
      </c>
      <c r="G11" s="1" t="s">
        <v>22</v>
      </c>
      <c r="H11" s="1" t="s">
        <v>1735</v>
      </c>
      <c r="I11" s="1" t="s">
        <v>1404</v>
      </c>
      <c r="J11" s="27"/>
      <c r="K11" s="1"/>
      <c r="L11" s="27"/>
      <c r="M11" s="1"/>
      <c r="N11" s="19"/>
      <c r="O11" s="1">
        <f>paper_sticks[[#This Row],[Цена за 1 бр. в BGN]]*paper_sticks[[#This Row],[Поръчано Количество]]</f>
        <v>0</v>
      </c>
      <c r="P11" s="1"/>
      <c r="Q11" s="1"/>
      <c r="R11" s="1" t="str" cm="1">
        <f t="array" ref="R11">_xlfn.SWITCH(S11,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1" s="1"/>
    </row>
    <row r="12" spans="1:19" ht="30">
      <c r="A12" s="1" t="s">
        <v>1736</v>
      </c>
      <c r="B12" s="1">
        <v>100</v>
      </c>
      <c r="C12" s="1">
        <v>50</v>
      </c>
      <c r="D12" s="27">
        <v>45721</v>
      </c>
      <c r="E12" s="1" t="s">
        <v>1717</v>
      </c>
      <c r="F12" s="33">
        <v>45721.372870370367</v>
      </c>
      <c r="G12" s="1" t="s">
        <v>22</v>
      </c>
      <c r="H12" s="1"/>
      <c r="I12" s="1" t="s">
        <v>58</v>
      </c>
      <c r="J12" s="27"/>
      <c r="K12" s="1"/>
      <c r="L12" s="27"/>
      <c r="M12" s="1"/>
      <c r="N12" s="19">
        <f>17.6/100</f>
        <v>0.17600000000000002</v>
      </c>
      <c r="O12" s="1">
        <f>paper_sticks[[#This Row],[Цена за 1 бр. в BGN]]*paper_sticks[[#This Row],[Поръчано Количество]]</f>
        <v>8.8000000000000007</v>
      </c>
      <c r="P12" s="1"/>
      <c r="Q12" s="1"/>
      <c r="R12" s="1" t="str" cm="1">
        <f t="array" ref="R12">_xlfn.SWITCH(S12,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2" s="1"/>
    </row>
    <row r="13" spans="1:19" ht="30">
      <c r="A13" s="1" t="s">
        <v>1737</v>
      </c>
      <c r="B13" s="1">
        <v>4</v>
      </c>
      <c r="C13" s="1"/>
      <c r="D13" s="27">
        <v>45728</v>
      </c>
      <c r="E13" s="1" t="s">
        <v>1717</v>
      </c>
      <c r="F13" s="33">
        <v>45721.430335648147</v>
      </c>
      <c r="G13" s="1"/>
      <c r="H13" s="1"/>
      <c r="I13" s="1" t="s">
        <v>1721</v>
      </c>
      <c r="J13" s="27"/>
      <c r="K13" s="1"/>
      <c r="L13" s="27"/>
      <c r="M13" s="1"/>
      <c r="N13" s="19"/>
      <c r="O13" s="1">
        <f>paper_sticks[[#This Row],[Цена за 1 бр. в BGN]]*paper_sticks[[#This Row],[Поръчано Количество]]</f>
        <v>0</v>
      </c>
      <c r="P13" s="1"/>
      <c r="Q13" s="1"/>
      <c r="R13" s="1" t="str" cm="1">
        <f t="array" ref="R13">_xlfn.SWITCH(S13,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3" s="1"/>
    </row>
    <row r="14" spans="1:19" ht="30">
      <c r="A14" s="1" t="s">
        <v>1738</v>
      </c>
      <c r="B14" s="1">
        <v>8</v>
      </c>
      <c r="C14" s="1"/>
      <c r="D14" s="27">
        <v>45728</v>
      </c>
      <c r="E14" s="1" t="s">
        <v>1717</v>
      </c>
      <c r="F14" s="33">
        <v>45721.431608796294</v>
      </c>
      <c r="G14" s="1"/>
      <c r="H14" s="1"/>
      <c r="I14" s="1" t="s">
        <v>1721</v>
      </c>
      <c r="J14" s="27"/>
      <c r="K14" s="1"/>
      <c r="L14" s="27"/>
      <c r="M14" s="1"/>
      <c r="N14" s="19"/>
      <c r="O14" s="1">
        <f>paper_sticks[[#This Row],[Цена за 1 бр. в BGN]]*paper_sticks[[#This Row],[Поръчано Количество]]</f>
        <v>0</v>
      </c>
      <c r="P14" s="1"/>
      <c r="Q14" s="1"/>
      <c r="R14" s="1" t="str" cm="1">
        <f t="array" ref="R14">_xlfn.SWITCH(S14,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4" s="1"/>
    </row>
    <row r="15" spans="1:19" ht="30">
      <c r="A15" s="1" t="s">
        <v>1739</v>
      </c>
      <c r="B15" s="1">
        <v>40</v>
      </c>
      <c r="C15" s="1">
        <v>100</v>
      </c>
      <c r="D15" s="27">
        <v>45728</v>
      </c>
      <c r="E15" s="1" t="s">
        <v>1717</v>
      </c>
      <c r="F15" s="33">
        <v>45721.43582175926</v>
      </c>
      <c r="G15" s="1" t="s">
        <v>22</v>
      </c>
      <c r="H15" s="1"/>
      <c r="I15" s="1" t="s">
        <v>58</v>
      </c>
      <c r="J15" s="27"/>
      <c r="K15" s="1"/>
      <c r="L15" s="27"/>
      <c r="M15" s="1"/>
      <c r="N15" s="19">
        <f>7.56/100</f>
        <v>7.5600000000000001E-2</v>
      </c>
      <c r="O15" s="1">
        <f>paper_sticks[[#This Row],[Цена за 1 бр. в BGN]]*paper_sticks[[#This Row],[Поръчано Количество]]</f>
        <v>7.5600000000000005</v>
      </c>
      <c r="P15" s="1"/>
      <c r="Q15" s="1"/>
      <c r="R15" s="1" t="str" cm="1">
        <f t="array" ref="R15">_xlfn.SWITCH(S15,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5" s="1"/>
    </row>
    <row r="16" spans="1:19" ht="30">
      <c r="A16" s="1" t="s">
        <v>1740</v>
      </c>
      <c r="B16" s="1">
        <v>40</v>
      </c>
      <c r="C16" s="1">
        <v>100</v>
      </c>
      <c r="D16" s="27">
        <v>45728</v>
      </c>
      <c r="E16" s="1" t="s">
        <v>1717</v>
      </c>
      <c r="F16" s="33">
        <v>45721.436261574076</v>
      </c>
      <c r="G16" s="1" t="s">
        <v>22</v>
      </c>
      <c r="H16" s="1"/>
      <c r="I16" s="1" t="s">
        <v>58</v>
      </c>
      <c r="J16" s="27"/>
      <c r="K16" s="1"/>
      <c r="L16" s="27"/>
      <c r="M16" s="1"/>
      <c r="N16" s="19">
        <f>3.68/100</f>
        <v>3.6799999999999999E-2</v>
      </c>
      <c r="O16" s="1">
        <f>paper_sticks[[#This Row],[Цена за 1 бр. в BGN]]*paper_sticks[[#This Row],[Поръчано Количество]]</f>
        <v>3.6799999999999997</v>
      </c>
      <c r="P16" s="1"/>
      <c r="Q16" s="1"/>
      <c r="R16" s="1" t="str" cm="1">
        <f t="array" ref="R16">_xlfn.SWITCH(S16,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6" s="1"/>
    </row>
    <row r="17" spans="1:19" ht="30">
      <c r="A17" s="1" t="s">
        <v>1741</v>
      </c>
      <c r="B17" s="1">
        <v>16</v>
      </c>
      <c r="C17" s="1"/>
      <c r="D17" s="27">
        <v>45729</v>
      </c>
      <c r="E17" s="1" t="s">
        <v>1717</v>
      </c>
      <c r="F17" s="33">
        <v>45722.309421296297</v>
      </c>
      <c r="G17" s="1"/>
      <c r="H17" s="1"/>
      <c r="I17" s="1"/>
      <c r="J17" s="27"/>
      <c r="K17" s="1"/>
      <c r="L17" s="27"/>
      <c r="M17" s="1"/>
      <c r="N17" s="19"/>
      <c r="O17" s="1">
        <f>paper_sticks[[#This Row],[Цена за 1 бр. в BGN]]*paper_sticks[[#This Row],[Поръчано Количество]]</f>
        <v>0</v>
      </c>
      <c r="P17" s="1"/>
      <c r="Q17" s="1"/>
      <c r="R17" s="1" t="str" cm="1">
        <f t="array" ref="R17">_xlfn.SWITCH(S17,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7" s="1"/>
    </row>
    <row r="18" spans="1:19" ht="30">
      <c r="A18" s="1" t="s">
        <v>1742</v>
      </c>
      <c r="B18" s="1">
        <v>1</v>
      </c>
      <c r="C18" s="1">
        <v>1</v>
      </c>
      <c r="D18" s="27">
        <v>45723</v>
      </c>
      <c r="E18" s="1" t="s">
        <v>63</v>
      </c>
      <c r="F18" s="33">
        <v>45722.392187500001</v>
      </c>
      <c r="G18" s="1" t="s">
        <v>22</v>
      </c>
      <c r="H18" s="1"/>
      <c r="I18" s="1" t="s">
        <v>58</v>
      </c>
      <c r="J18" s="27"/>
      <c r="K18" s="1"/>
      <c r="L18" s="27"/>
      <c r="M18" s="1"/>
      <c r="N18" s="19">
        <v>104.87</v>
      </c>
      <c r="O18" s="1">
        <f>paper_sticks[[#This Row],[Цена за 1 бр. в BGN]]*paper_sticks[[#This Row],[Поръчано Количество]]</f>
        <v>104.87</v>
      </c>
      <c r="P18" s="1"/>
      <c r="Q18" s="1"/>
      <c r="R18" s="1" t="str" cm="1">
        <f t="array" ref="R18">_xlfn.SWITCH(S18,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8" s="1"/>
    </row>
    <row r="19" spans="1:19" ht="30">
      <c r="A19" s="1" t="s">
        <v>1743</v>
      </c>
      <c r="B19" s="1">
        <v>10</v>
      </c>
      <c r="C19" s="1">
        <v>10</v>
      </c>
      <c r="D19" s="27">
        <v>45729</v>
      </c>
      <c r="E19" s="1" t="s">
        <v>63</v>
      </c>
      <c r="F19" s="33">
        <v>45722.392685185187</v>
      </c>
      <c r="G19" s="1" t="s">
        <v>22</v>
      </c>
      <c r="H19" s="1"/>
      <c r="I19" s="1" t="s">
        <v>58</v>
      </c>
      <c r="J19" s="27"/>
      <c r="K19" s="1"/>
      <c r="L19" s="27"/>
      <c r="M19" s="1"/>
      <c r="N19" s="19">
        <v>1.35</v>
      </c>
      <c r="O19" s="1">
        <f>paper_sticks[[#This Row],[Цена за 1 бр. в BGN]]*paper_sticks[[#This Row],[Поръчано Количество]]</f>
        <v>13.5</v>
      </c>
      <c r="P19" s="1"/>
      <c r="Q19" s="1"/>
      <c r="R19" s="1" t="str" cm="1">
        <f t="array" ref="R19">_xlfn.SWITCH(S19,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19" s="1"/>
    </row>
    <row r="20" spans="1:19">
      <c r="A20" s="1" t="s">
        <v>1744</v>
      </c>
      <c r="B20" s="1">
        <v>1</v>
      </c>
      <c r="C20" s="1"/>
      <c r="D20" s="27">
        <v>45729</v>
      </c>
      <c r="E20" s="1" t="s">
        <v>63</v>
      </c>
      <c r="F20" s="33">
        <v>45722.412280092591</v>
      </c>
      <c r="G20" s="1"/>
      <c r="H20" s="1"/>
      <c r="I20" s="1"/>
      <c r="J20" s="27"/>
      <c r="K20" s="1"/>
      <c r="L20" s="27"/>
      <c r="M20" s="1"/>
      <c r="N20" s="19"/>
      <c r="O20" s="1">
        <f>paper_sticks[[#This Row],[Цена за 1 бр. в BGN]]*paper_sticks[[#This Row],[Поръчано Количество]]</f>
        <v>0</v>
      </c>
      <c r="P20" s="1"/>
      <c r="Q20" s="1"/>
      <c r="R20" s="1" t="str" cm="1">
        <f t="array" ref="R20">_xlfn.SWITCH(S20,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0" s="1"/>
    </row>
    <row r="21" spans="1:19">
      <c r="A21" s="1" t="s">
        <v>1745</v>
      </c>
      <c r="B21" s="1">
        <v>2</v>
      </c>
      <c r="C21" s="1"/>
      <c r="D21" s="27">
        <v>45723</v>
      </c>
      <c r="E21" s="1" t="s">
        <v>63</v>
      </c>
      <c r="F21" s="33">
        <v>45723.244467592594</v>
      </c>
      <c r="G21" s="1" t="s">
        <v>22</v>
      </c>
      <c r="H21" s="1"/>
      <c r="I21" s="1" t="s">
        <v>58</v>
      </c>
      <c r="J21" s="27"/>
      <c r="K21" s="1"/>
      <c r="L21" s="27">
        <v>45723</v>
      </c>
      <c r="M21" s="1"/>
      <c r="N21" s="19"/>
      <c r="O21" s="1">
        <f>paper_sticks[[#This Row],[Цена за 1 бр. в BGN]]*paper_sticks[[#This Row],[Поръчано Количество]]</f>
        <v>0</v>
      </c>
      <c r="P21" s="1"/>
      <c r="Q21" s="1"/>
      <c r="R21" s="1" t="str" cm="1">
        <f t="array" ref="R21">_xlfn.SWITCH(S21,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1" s="1"/>
    </row>
    <row r="22" spans="1:19">
      <c r="A22" s="1" t="s">
        <v>1746</v>
      </c>
      <c r="B22" s="1">
        <v>1</v>
      </c>
      <c r="C22" s="1"/>
      <c r="D22" s="27">
        <v>45723</v>
      </c>
      <c r="E22" s="1" t="s">
        <v>63</v>
      </c>
      <c r="F22" s="33">
        <v>45723.253761574073</v>
      </c>
      <c r="G22" s="1" t="s">
        <v>22</v>
      </c>
      <c r="H22" s="1"/>
      <c r="I22" s="1" t="s">
        <v>58</v>
      </c>
      <c r="J22" s="27"/>
      <c r="K22" s="1"/>
      <c r="L22" s="27">
        <v>45723</v>
      </c>
      <c r="M22" s="1"/>
      <c r="N22" s="19"/>
      <c r="O22" s="1">
        <f>paper_sticks[[#This Row],[Цена за 1 бр. в BGN]]*paper_sticks[[#This Row],[Поръчано Количество]]</f>
        <v>0</v>
      </c>
      <c r="P22" s="1"/>
      <c r="Q22" s="1"/>
      <c r="R22" s="1" t="str" cm="1">
        <f t="array" ref="R22">_xlfn.SWITCH(S22,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2" s="1"/>
    </row>
    <row r="23" spans="1:19" ht="30">
      <c r="A23" s="1" t="s">
        <v>1747</v>
      </c>
      <c r="B23" s="1">
        <v>40</v>
      </c>
      <c r="C23" s="1">
        <v>80</v>
      </c>
      <c r="D23" s="27">
        <v>45730</v>
      </c>
      <c r="E23" s="1" t="s">
        <v>1717</v>
      </c>
      <c r="F23" s="33">
        <v>45723.431712962964</v>
      </c>
      <c r="G23" s="1" t="s">
        <v>22</v>
      </c>
      <c r="H23" s="1" t="s">
        <v>1748</v>
      </c>
      <c r="I23" s="1" t="s">
        <v>69</v>
      </c>
      <c r="J23" s="27"/>
      <c r="K23" s="1"/>
      <c r="L23" s="27"/>
      <c r="M23" s="1"/>
      <c r="N23" s="19">
        <v>4.8899999999999997</v>
      </c>
      <c r="O23" s="1">
        <f>paper_sticks[[#This Row],[Цена за 1 бр. в BGN]]*paper_sticks[[#This Row],[Поръчано Количество]]</f>
        <v>391.2</v>
      </c>
      <c r="P23" s="1"/>
      <c r="Q23" s="1"/>
      <c r="R23" s="1" t="str" cm="1">
        <f t="array" ref="R23">_xlfn.SWITCH(S23,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3" s="1"/>
    </row>
    <row r="24" spans="1:19">
      <c r="A24" s="1" t="s">
        <v>1749</v>
      </c>
      <c r="B24" s="1">
        <v>2</v>
      </c>
      <c r="C24" s="1">
        <v>2</v>
      </c>
      <c r="D24" s="27">
        <v>45730</v>
      </c>
      <c r="E24" s="1" t="s">
        <v>63</v>
      </c>
      <c r="F24" s="33">
        <v>45728.371747685182</v>
      </c>
      <c r="G24" s="1" t="s">
        <v>22</v>
      </c>
      <c r="H24" s="1" t="s">
        <v>174</v>
      </c>
      <c r="I24" s="1" t="s">
        <v>58</v>
      </c>
      <c r="J24" s="27">
        <v>45749</v>
      </c>
      <c r="K24" s="1"/>
      <c r="L24" s="27"/>
      <c r="M24" s="1"/>
      <c r="N24" s="19">
        <v>14.05</v>
      </c>
      <c r="O24" s="1">
        <f>paper_sticks[[#This Row],[Цена за 1 бр. в BGN]]*paper_sticks[[#This Row],[Поръчано Количество]]</f>
        <v>28.1</v>
      </c>
      <c r="P24" s="1"/>
      <c r="Q24" s="1"/>
      <c r="R24" s="1" t="str" cm="1">
        <f t="array" ref="R24">_xlfn.SWITCH(S24,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4" s="1"/>
    </row>
    <row r="25" spans="1:19" ht="30">
      <c r="A25" s="1" t="s">
        <v>1750</v>
      </c>
      <c r="B25" s="1">
        <v>10</v>
      </c>
      <c r="C25" s="1">
        <v>10</v>
      </c>
      <c r="D25" s="27">
        <v>45736</v>
      </c>
      <c r="E25" s="1" t="s">
        <v>1717</v>
      </c>
      <c r="F25" s="33">
        <v>45729.498483796298</v>
      </c>
      <c r="G25" s="1" t="s">
        <v>22</v>
      </c>
      <c r="H25" s="1" t="s">
        <v>111</v>
      </c>
      <c r="I25" s="1" t="s">
        <v>112</v>
      </c>
      <c r="J25" s="27"/>
      <c r="K25" s="1"/>
      <c r="L25" s="27">
        <v>45755</v>
      </c>
      <c r="M25" s="1">
        <v>10</v>
      </c>
      <c r="N25" s="19">
        <v>4.9800000000000004</v>
      </c>
      <c r="O25" s="1">
        <f>paper_sticks[[#This Row],[Цена за 1 бр. в BGN]]*paper_sticks[[#This Row],[Поръчано Количество]]</f>
        <v>49.800000000000004</v>
      </c>
      <c r="P25" s="1"/>
      <c r="Q25" s="1"/>
      <c r="R25" s="1" t="str" cm="1">
        <f t="array" ref="R25">_xlfn.SWITCH(S25,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5" s="1"/>
    </row>
    <row r="26" spans="1:19" ht="30">
      <c r="A26" s="1" t="s">
        <v>1751</v>
      </c>
      <c r="B26" s="1">
        <v>20</v>
      </c>
      <c r="C26" s="1">
        <v>20</v>
      </c>
      <c r="D26" s="27">
        <v>45736</v>
      </c>
      <c r="E26" s="1" t="s">
        <v>1717</v>
      </c>
      <c r="F26" s="33">
        <v>45729.499537037038</v>
      </c>
      <c r="G26" s="1" t="s">
        <v>22</v>
      </c>
      <c r="H26" s="1" t="s">
        <v>174</v>
      </c>
      <c r="I26" s="1" t="s">
        <v>58</v>
      </c>
      <c r="J26" s="27">
        <v>45749</v>
      </c>
      <c r="K26" s="1"/>
      <c r="L26" s="27"/>
      <c r="M26" s="1"/>
      <c r="N26" s="19">
        <v>0.35110000000000002</v>
      </c>
      <c r="O26" s="1">
        <f>paper_sticks[[#This Row],[Цена за 1 бр. в BGN]]*paper_sticks[[#This Row],[Поръчано Количество]]</f>
        <v>7.0220000000000002</v>
      </c>
      <c r="P26" s="1"/>
      <c r="Q26" s="1"/>
      <c r="R26" s="1" t="str" cm="1">
        <f t="array" ref="R26">_xlfn.SWITCH(S26,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6" s="1"/>
    </row>
    <row r="27" spans="1:19" ht="30">
      <c r="A27" s="1" t="s">
        <v>1752</v>
      </c>
      <c r="B27" s="1">
        <v>8</v>
      </c>
      <c r="C27" s="1">
        <v>8</v>
      </c>
      <c r="D27" s="27">
        <v>45737</v>
      </c>
      <c r="E27" s="1" t="s">
        <v>1717</v>
      </c>
      <c r="F27" s="33">
        <v>45733.369328703702</v>
      </c>
      <c r="G27" s="1" t="s">
        <v>22</v>
      </c>
      <c r="H27" s="1" t="s">
        <v>1753</v>
      </c>
      <c r="I27" s="1" t="s">
        <v>1754</v>
      </c>
      <c r="J27" s="27">
        <v>45749</v>
      </c>
      <c r="K27" s="1"/>
      <c r="L27" s="27"/>
      <c r="M27" s="1"/>
      <c r="N27" s="19">
        <v>14</v>
      </c>
      <c r="O27" s="1">
        <f>paper_sticks[[#This Row],[Цена за 1 бр. в BGN]]*paper_sticks[[#This Row],[Поръчано Количество]]</f>
        <v>112</v>
      </c>
      <c r="P27" s="1"/>
      <c r="Q27" s="1"/>
      <c r="R27" s="1" t="str" cm="1">
        <f t="array" ref="R27">_xlfn.SWITCH(S27,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7" s="1"/>
    </row>
    <row r="28" spans="1:19">
      <c r="A28" s="1" t="s">
        <v>1755</v>
      </c>
      <c r="B28" s="1">
        <v>6</v>
      </c>
      <c r="C28" s="1">
        <v>6</v>
      </c>
      <c r="D28" s="27">
        <v>45738</v>
      </c>
      <c r="E28" s="1" t="s">
        <v>63</v>
      </c>
      <c r="F28" s="33">
        <v>45733.429814814815</v>
      </c>
      <c r="G28" s="1" t="s">
        <v>22</v>
      </c>
      <c r="H28" s="1" t="s">
        <v>174</v>
      </c>
      <c r="I28" s="1" t="s">
        <v>58</v>
      </c>
      <c r="J28" s="27">
        <v>45749</v>
      </c>
      <c r="K28" s="1"/>
      <c r="L28" s="27"/>
      <c r="M28" s="1"/>
      <c r="N28" s="19">
        <v>2.82</v>
      </c>
      <c r="O28" s="1">
        <f>paper_sticks[[#This Row],[Цена за 1 бр. в BGN]]*paper_sticks[[#This Row],[Поръчано Количество]]</f>
        <v>16.919999999999998</v>
      </c>
      <c r="P28" s="1"/>
      <c r="Q28" s="1"/>
      <c r="R28" s="1" t="str" cm="1">
        <f t="array" ref="R28">_xlfn.SWITCH(S28,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8" s="1"/>
    </row>
    <row r="29" spans="1:19" ht="30">
      <c r="A29" s="1" t="s">
        <v>1756</v>
      </c>
      <c r="B29" s="1">
        <v>1</v>
      </c>
      <c r="C29" s="1"/>
      <c r="D29" s="27">
        <v>45740</v>
      </c>
      <c r="E29" s="1" t="s">
        <v>1734</v>
      </c>
      <c r="F29" s="33">
        <v>45737.456562500003</v>
      </c>
      <c r="G29" s="1" t="s">
        <v>22</v>
      </c>
      <c r="H29" s="1"/>
      <c r="I29" s="1"/>
      <c r="J29" s="27"/>
      <c r="K29" s="1"/>
      <c r="L29" s="27"/>
      <c r="M29" s="1"/>
      <c r="N29" s="19"/>
      <c r="O29" s="1">
        <f>paper_sticks[[#This Row],[Цена за 1 бр. в BGN]]*paper_sticks[[#This Row],[Поръчано Количество]]</f>
        <v>0</v>
      </c>
      <c r="P29" s="1"/>
      <c r="Q29" s="1"/>
      <c r="R29" s="1" t="str" cm="1">
        <f t="array" ref="R29">_xlfn.SWITCH(S29,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29" s="1"/>
    </row>
    <row r="30" spans="1:19" ht="30">
      <c r="A30" s="1" t="s">
        <v>1757</v>
      </c>
      <c r="B30" s="1">
        <v>3</v>
      </c>
      <c r="C30" s="1"/>
      <c r="D30" s="27">
        <v>45758</v>
      </c>
      <c r="E30" s="1" t="s">
        <v>1717</v>
      </c>
      <c r="F30" s="33">
        <v>45742.236030092594</v>
      </c>
      <c r="G30" s="1" t="s">
        <v>42</v>
      </c>
      <c r="H30" s="1"/>
      <c r="I30" s="1"/>
      <c r="J30" s="27"/>
      <c r="K30" s="1"/>
      <c r="L30" s="27"/>
      <c r="M30" s="1"/>
      <c r="N30" s="19"/>
      <c r="O30" s="1">
        <f>paper_sticks[[#This Row],[Цена за 1 бр. в BGN]]*paper_sticks[[#This Row],[Поръчано Количество]]</f>
        <v>0</v>
      </c>
      <c r="P30" s="1"/>
      <c r="Q30" s="1"/>
      <c r="R30" s="1" t="str" cm="1">
        <f t="array" ref="R30">_xlfn.SWITCH(S30,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0" s="1"/>
    </row>
    <row r="31" spans="1:19" ht="30">
      <c r="A31" s="1" t="s">
        <v>1758</v>
      </c>
      <c r="B31" s="1">
        <v>1</v>
      </c>
      <c r="C31" s="1"/>
      <c r="D31" s="27">
        <v>45777</v>
      </c>
      <c r="E31" s="1" t="s">
        <v>1717</v>
      </c>
      <c r="F31" s="33">
        <v>45748.27003472222</v>
      </c>
      <c r="G31" s="1" t="s">
        <v>235</v>
      </c>
      <c r="H31" s="1" t="s">
        <v>1759</v>
      </c>
      <c r="I31" s="1" t="s">
        <v>48</v>
      </c>
      <c r="J31" s="27"/>
      <c r="K31" s="1"/>
      <c r="L31" s="27"/>
      <c r="M31" s="1"/>
      <c r="N31" s="19"/>
      <c r="O31" s="1">
        <f>paper_sticks[[#This Row],[Цена за 1 бр. в BGN]]*paper_sticks[[#This Row],[Поръчано Количество]]</f>
        <v>0</v>
      </c>
      <c r="P31" s="1"/>
      <c r="Q31" s="1"/>
      <c r="R31" s="1" t="str" cm="1">
        <f t="array" ref="R31">_xlfn.SWITCH(S31,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1" s="1"/>
    </row>
    <row r="32" spans="1:19" ht="30">
      <c r="A32" s="1" t="s">
        <v>1760</v>
      </c>
      <c r="B32" s="1">
        <v>1</v>
      </c>
      <c r="C32" s="1"/>
      <c r="D32" s="27">
        <v>45777</v>
      </c>
      <c r="E32" s="1" t="s">
        <v>1717</v>
      </c>
      <c r="F32" s="33">
        <v>45748.270381944443</v>
      </c>
      <c r="G32" s="1" t="s">
        <v>235</v>
      </c>
      <c r="H32" s="1" t="s">
        <v>1759</v>
      </c>
      <c r="I32" s="1" t="s">
        <v>48</v>
      </c>
      <c r="J32" s="27"/>
      <c r="K32" s="1"/>
      <c r="L32" s="27"/>
      <c r="M32" s="1"/>
      <c r="N32" s="19"/>
      <c r="O32" s="1">
        <f>paper_sticks[[#This Row],[Цена за 1 бр. в BGN]]*paper_sticks[[#This Row],[Поръчано Количество]]</f>
        <v>0</v>
      </c>
      <c r="P32" s="1"/>
      <c r="Q32" s="1"/>
      <c r="R32" s="1" t="str" cm="1">
        <f t="array" ref="R32">_xlfn.SWITCH(S32,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2" s="1"/>
    </row>
    <row r="33" spans="1:19" ht="30">
      <c r="A33" s="1" t="s">
        <v>1761</v>
      </c>
      <c r="B33" s="1">
        <v>1</v>
      </c>
      <c r="C33" s="1"/>
      <c r="D33" s="27">
        <v>45777</v>
      </c>
      <c r="E33" s="1" t="s">
        <v>1717</v>
      </c>
      <c r="F33" s="33">
        <v>45748.271898148145</v>
      </c>
      <c r="G33" s="1" t="s">
        <v>235</v>
      </c>
      <c r="H33" s="1" t="s">
        <v>1759</v>
      </c>
      <c r="I33" s="1" t="s">
        <v>48</v>
      </c>
      <c r="J33" s="27"/>
      <c r="K33" s="1"/>
      <c r="L33" s="27"/>
      <c r="M33" s="1"/>
      <c r="N33" s="19"/>
      <c r="O33" s="1">
        <f>paper_sticks[[#This Row],[Цена за 1 бр. в BGN]]*paper_sticks[[#This Row],[Поръчано Количество]]</f>
        <v>0</v>
      </c>
      <c r="P33" s="1"/>
      <c r="Q33" s="1"/>
      <c r="R33" s="1" t="str" cm="1">
        <f t="array" ref="R33">_xlfn.SWITCH(S33,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3" s="1"/>
    </row>
    <row r="34" spans="1:19" ht="30">
      <c r="A34" s="1" t="s">
        <v>1762</v>
      </c>
      <c r="B34" s="1">
        <v>4</v>
      </c>
      <c r="C34" s="1">
        <v>4</v>
      </c>
      <c r="D34" s="27">
        <v>45772</v>
      </c>
      <c r="E34" s="1" t="s">
        <v>1734</v>
      </c>
      <c r="F34" s="33">
        <v>45756.37667824074</v>
      </c>
      <c r="G34" s="1" t="s">
        <v>235</v>
      </c>
      <c r="H34" s="1" t="s">
        <v>1763</v>
      </c>
      <c r="I34" s="1" t="s">
        <v>104</v>
      </c>
      <c r="J34" s="27"/>
      <c r="K34" s="1"/>
      <c r="L34" s="27"/>
      <c r="M34" s="1"/>
      <c r="N34" s="19">
        <v>133.21</v>
      </c>
      <c r="O34" s="1">
        <f>paper_sticks[[#This Row],[Цена за 1 бр. в BGN]]*paper_sticks[[#This Row],[Поръчано Количество]]</f>
        <v>532.84</v>
      </c>
      <c r="P34" s="1"/>
      <c r="Q34" s="1"/>
      <c r="R34" s="1" t="str" cm="1">
        <f t="array" ref="R34">_xlfn.SWITCH(S34,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4" s="1"/>
    </row>
    <row r="35" spans="1:19" ht="30">
      <c r="A35" s="1" t="s">
        <v>1764</v>
      </c>
      <c r="B35" s="1">
        <v>12</v>
      </c>
      <c r="C35" s="1"/>
      <c r="D35" s="27">
        <v>45763</v>
      </c>
      <c r="E35" s="1" t="s">
        <v>1717</v>
      </c>
      <c r="F35" s="33">
        <v>45762.404131944444</v>
      </c>
      <c r="G35" s="1"/>
      <c r="H35" s="1"/>
      <c r="I35" s="1"/>
      <c r="J35" s="27"/>
      <c r="K35" s="1"/>
      <c r="L35" s="27"/>
      <c r="M35" s="1"/>
      <c r="N35" s="19"/>
      <c r="O35" s="1">
        <f>paper_sticks[[#This Row],[Цена за 1 бр. в BGN]]*paper_sticks[[#This Row],[Поръчано Количество]]</f>
        <v>0</v>
      </c>
      <c r="P35" s="1"/>
      <c r="Q35" s="1"/>
      <c r="R35" s="1" t="str" cm="1">
        <f t="array" ref="R35">_xlfn.SWITCH(S35,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5" s="1"/>
    </row>
    <row r="36" spans="1:19" ht="30">
      <c r="A36" s="1" t="s">
        <v>1765</v>
      </c>
      <c r="B36" s="1">
        <v>4</v>
      </c>
      <c r="C36" s="1"/>
      <c r="D36" s="27">
        <v>45777</v>
      </c>
      <c r="E36" s="1" t="s">
        <v>1717</v>
      </c>
      <c r="F36" s="33">
        <v>45762.407569444447</v>
      </c>
      <c r="G36" s="1"/>
      <c r="H36" s="1"/>
      <c r="I36" s="1"/>
      <c r="J36" s="27"/>
      <c r="K36" s="1"/>
      <c r="L36" s="27"/>
      <c r="M36" s="1"/>
      <c r="N36" s="19"/>
      <c r="O36" s="1">
        <f>paper_sticks[[#This Row],[Цена за 1 бр. в BGN]]*paper_sticks[[#This Row],[Поръчано Количество]]</f>
        <v>0</v>
      </c>
      <c r="P36" s="1"/>
      <c r="Q36" s="1"/>
      <c r="R36" s="1" t="str" cm="1">
        <f t="array" ref="R36">_xlfn.SWITCH(S36,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6" s="1"/>
    </row>
    <row r="37" spans="1:19" ht="30">
      <c r="A37" s="1" t="s">
        <v>1766</v>
      </c>
      <c r="B37" s="1">
        <v>4</v>
      </c>
      <c r="C37" s="1"/>
      <c r="D37" s="27">
        <v>45791</v>
      </c>
      <c r="E37" s="1" t="s">
        <v>1717</v>
      </c>
      <c r="F37" s="33">
        <v>45763.459178240744</v>
      </c>
      <c r="G37" s="1"/>
      <c r="H37" s="1"/>
      <c r="I37" s="1"/>
      <c r="J37" s="27"/>
      <c r="K37" s="1"/>
      <c r="L37" s="27"/>
      <c r="M37" s="1"/>
      <c r="N37" s="19"/>
      <c r="O37" s="1">
        <f>paper_sticks[[#This Row],[Цена за 1 бр. в BGN]]*paper_sticks[[#This Row],[Поръчано Количество]]</f>
        <v>0</v>
      </c>
      <c r="P37" s="1"/>
      <c r="Q37" s="1"/>
      <c r="R37" s="1" t="str" cm="1">
        <f t="array" ref="R37">_xlfn.SWITCH(S37,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7" s="1"/>
    </row>
    <row r="38" spans="1:19" ht="90">
      <c r="A38" s="1" t="s">
        <v>1767</v>
      </c>
      <c r="B38" s="1">
        <v>3</v>
      </c>
      <c r="C38" s="1">
        <v>3</v>
      </c>
      <c r="D38" s="27">
        <v>45776</v>
      </c>
      <c r="E38" s="1" t="s">
        <v>1768</v>
      </c>
      <c r="F38" s="33">
        <v>45771.443923611114</v>
      </c>
      <c r="G38" s="1" t="s">
        <v>235</v>
      </c>
      <c r="H38" s="1">
        <v>381074</v>
      </c>
      <c r="I38" s="1" t="s">
        <v>164</v>
      </c>
      <c r="J38" s="27">
        <v>45775</v>
      </c>
      <c r="K38" s="1"/>
      <c r="L38" s="27"/>
      <c r="M38" s="1"/>
      <c r="N38" s="19">
        <v>55.72</v>
      </c>
      <c r="O38" s="1">
        <f>paper_sticks[[#This Row],[Цена за 1 бр. в BGN]]*paper_sticks[[#This Row],[Поръчано Количество]]</f>
        <v>167.16</v>
      </c>
      <c r="P38" s="1"/>
      <c r="Q38" s="1"/>
      <c r="R38" s="1" t="str" cm="1">
        <f t="array" ref="R38">_xlfn.SWITCH(S38,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8" s="1"/>
    </row>
    <row r="39" spans="1:19" ht="30">
      <c r="A39" s="1" t="s">
        <v>1769</v>
      </c>
      <c r="B39" s="1">
        <v>100</v>
      </c>
      <c r="C39" s="1"/>
      <c r="D39" s="27">
        <v>45791</v>
      </c>
      <c r="E39" s="1" t="s">
        <v>1717</v>
      </c>
      <c r="F39" s="33">
        <v>45777.31354166667</v>
      </c>
      <c r="G39" s="1"/>
      <c r="H39" s="1"/>
      <c r="I39" s="1"/>
      <c r="J39" s="27"/>
      <c r="K39" s="1"/>
      <c r="L39" s="27"/>
      <c r="M39" s="1"/>
      <c r="N39" s="19"/>
      <c r="O39" s="1">
        <f>paper_sticks[[#This Row],[Цена за 1 бр. в BGN]]*paper_sticks[[#This Row],[Поръчано Количество]]</f>
        <v>0</v>
      </c>
      <c r="P39" s="1"/>
      <c r="Q39" s="1"/>
      <c r="R39" s="1" t="str" cm="1">
        <f t="array" ref="R39">_xlfn.SWITCH(S39,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39" s="1"/>
    </row>
    <row r="40" spans="1:19" ht="45">
      <c r="A40" s="1" t="s">
        <v>1770</v>
      </c>
      <c r="B40" s="1">
        <v>1</v>
      </c>
      <c r="C40" s="1"/>
      <c r="D40" s="27">
        <v>45797</v>
      </c>
      <c r="E40" s="1" t="s">
        <v>1768</v>
      </c>
      <c r="F40" s="33">
        <v>45796.229363425926</v>
      </c>
      <c r="G40" s="1"/>
      <c r="H40" s="1" t="s">
        <v>1771</v>
      </c>
      <c r="I40" s="1"/>
      <c r="J40" s="27"/>
      <c r="K40" s="1"/>
      <c r="L40" s="27"/>
      <c r="M40" s="1"/>
      <c r="N40" s="19"/>
      <c r="O40" s="1">
        <f>paper_sticks[[#This Row],[Цена за 1 бр. в BGN]]*paper_sticks[[#This Row],[Поръчано Количество]]</f>
        <v>0</v>
      </c>
      <c r="P40" s="1"/>
      <c r="Q40" s="1"/>
      <c r="R40" s="1" t="str" cm="1">
        <f t="array" ref="R40">_xlfn.SWITCH(S40,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0" s="1"/>
    </row>
    <row r="41" spans="1:19" ht="45">
      <c r="A41" s="1" t="s">
        <v>1772</v>
      </c>
      <c r="B41" s="1">
        <v>2</v>
      </c>
      <c r="C41" s="1"/>
      <c r="D41" s="27">
        <v>45797</v>
      </c>
      <c r="E41" s="1" t="s">
        <v>1768</v>
      </c>
      <c r="F41" s="33">
        <v>45796.254432870373</v>
      </c>
      <c r="G41" s="1"/>
      <c r="H41" s="1" t="s">
        <v>1773</v>
      </c>
      <c r="I41" s="1"/>
      <c r="J41" s="27"/>
      <c r="K41" s="1"/>
      <c r="L41" s="27"/>
      <c r="M41" s="1"/>
      <c r="N41" s="19"/>
      <c r="O41" s="1">
        <f>paper_sticks[[#This Row],[Цена за 1 бр. в BGN]]*paper_sticks[[#This Row],[Поръчано Количество]]</f>
        <v>0</v>
      </c>
      <c r="P41" s="1"/>
      <c r="Q41" s="1"/>
      <c r="R41" s="1" t="str" cm="1">
        <f t="array" ref="R41">_xlfn.SWITCH(S41,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1" s="1"/>
    </row>
    <row r="42" spans="1:19" ht="45">
      <c r="A42" s="1" t="s">
        <v>1774</v>
      </c>
      <c r="B42" s="1">
        <v>1</v>
      </c>
      <c r="C42" s="1"/>
      <c r="D42" s="27">
        <v>45815</v>
      </c>
      <c r="E42" s="1" t="s">
        <v>1768</v>
      </c>
      <c r="F42" s="33">
        <v>45806.420671296299</v>
      </c>
      <c r="G42" s="1" t="s">
        <v>235</v>
      </c>
      <c r="H42" s="1" t="s">
        <v>1775</v>
      </c>
      <c r="I42" s="1"/>
      <c r="J42" s="27"/>
      <c r="K42" s="1"/>
      <c r="L42" s="27"/>
      <c r="M42" s="1"/>
      <c r="N42" s="19"/>
      <c r="O42" s="1">
        <f>paper_sticks[[#This Row],[Цена за 1 бр. в BGN]]*paper_sticks[[#This Row],[Поръчано Количество]]</f>
        <v>0</v>
      </c>
      <c r="P42" s="1"/>
      <c r="Q42" s="1"/>
      <c r="R42" s="1" t="str" cm="1">
        <f t="array" ref="R42">_xlfn.SWITCH(S42,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2" s="1"/>
    </row>
    <row r="43" spans="1:19">
      <c r="A43" s="1" t="s">
        <v>291</v>
      </c>
      <c r="B43" s="1">
        <v>1</v>
      </c>
      <c r="C43" s="1">
        <v>1</v>
      </c>
      <c r="D43" s="27">
        <v>45857</v>
      </c>
      <c r="E43" s="1" t="s">
        <v>63</v>
      </c>
      <c r="F43" s="33">
        <v>45841.188715277778</v>
      </c>
      <c r="G43" s="1" t="s">
        <v>22</v>
      </c>
      <c r="H43" s="1"/>
      <c r="I43" s="1" t="s">
        <v>58</v>
      </c>
      <c r="J43" s="27"/>
      <c r="K43" s="1"/>
      <c r="L43" s="27"/>
      <c r="M43" s="1"/>
      <c r="N43" s="19">
        <v>7.38</v>
      </c>
      <c r="O43" s="1">
        <f>paper_sticks[[#This Row],[Цена за 1 бр. в BGN]]*paper_sticks[[#This Row],[Поръчано Количество]]</f>
        <v>7.38</v>
      </c>
      <c r="P43" s="1"/>
      <c r="Q43" s="1"/>
      <c r="R43" s="1" t="str" cm="1">
        <f t="array" ref="R43">_xlfn.SWITCH(S43,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3" s="1"/>
    </row>
    <row r="44" spans="1:19" ht="30">
      <c r="A44" s="1" t="s">
        <v>1776</v>
      </c>
      <c r="B44" s="1">
        <v>200</v>
      </c>
      <c r="C44" s="1">
        <v>200</v>
      </c>
      <c r="D44" s="27">
        <v>45869</v>
      </c>
      <c r="E44" s="1" t="s">
        <v>1717</v>
      </c>
      <c r="F44" s="33">
        <v>45845.200868055559</v>
      </c>
      <c r="G44" s="1" t="s">
        <v>235</v>
      </c>
      <c r="H44" s="1" t="s">
        <v>1777</v>
      </c>
      <c r="I44" s="1" t="s">
        <v>104</v>
      </c>
      <c r="J44" s="27"/>
      <c r="K44" s="1"/>
      <c r="L44" s="27"/>
      <c r="M44" s="1"/>
      <c r="N44" s="19">
        <v>5.17</v>
      </c>
      <c r="O44" s="1">
        <f>paper_sticks[[#This Row],[Цена за 1 бр. в BGN]]*paper_sticks[[#This Row],[Поръчано Количество]]</f>
        <v>1034</v>
      </c>
      <c r="P44" s="1"/>
      <c r="Q44" s="1"/>
      <c r="R44" s="1" t="str" cm="1">
        <f t="array" ref="R44">_xlfn.SWITCH(S44,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4" s="1"/>
    </row>
    <row r="45" spans="1:19" ht="30">
      <c r="A45" s="1" t="s">
        <v>1778</v>
      </c>
      <c r="B45" s="1">
        <v>200</v>
      </c>
      <c r="C45" s="1">
        <v>200</v>
      </c>
      <c r="D45" s="27">
        <v>45869</v>
      </c>
      <c r="E45" s="1" t="s">
        <v>1717</v>
      </c>
      <c r="F45" s="33">
        <v>45845.206469907411</v>
      </c>
      <c r="G45" s="1" t="s">
        <v>22</v>
      </c>
      <c r="H45" s="1"/>
      <c r="I45" s="1" t="s">
        <v>677</v>
      </c>
      <c r="J45" s="27"/>
      <c r="K45" s="1"/>
      <c r="L45" s="27"/>
      <c r="M45" s="1">
        <v>200</v>
      </c>
      <c r="N45" s="19">
        <v>0.43</v>
      </c>
      <c r="O45" s="1">
        <f>paper_sticks[[#This Row],[Цена за 1 бр. в BGN]]*paper_sticks[[#This Row],[Поръчано Количество]]</f>
        <v>86</v>
      </c>
      <c r="P45" s="1" t="s">
        <v>1779</v>
      </c>
      <c r="Q45" s="1"/>
      <c r="R45" s="1" t="str" cm="1">
        <f t="array" ref="R45">_xlfn.SWITCH(S45,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5" s="1"/>
    </row>
    <row r="46" spans="1:19" ht="30">
      <c r="A46" s="1" t="s">
        <v>1780</v>
      </c>
      <c r="B46" s="1">
        <v>1</v>
      </c>
      <c r="C46" s="1">
        <v>2</v>
      </c>
      <c r="D46" s="27">
        <v>45848</v>
      </c>
      <c r="E46" s="1" t="s">
        <v>1717</v>
      </c>
      <c r="F46" s="33">
        <v>45846.262662037036</v>
      </c>
      <c r="G46" s="1" t="s">
        <v>22</v>
      </c>
      <c r="H46" s="1" t="s">
        <v>1781</v>
      </c>
      <c r="I46" s="1"/>
      <c r="J46" s="27"/>
      <c r="K46" s="1"/>
      <c r="L46" s="27"/>
      <c r="M46" s="1"/>
      <c r="N46" s="19"/>
      <c r="O46" s="1">
        <f>paper_sticks[[#This Row],[Цена за 1 бр. в BGN]]*paper_sticks[[#This Row],[Поръчано Количество]]</f>
        <v>0</v>
      </c>
      <c r="P46" s="1"/>
      <c r="Q46" s="1"/>
      <c r="R46" s="1" t="str" cm="1">
        <f t="array" ref="R46">_xlfn.SWITCH(S46,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6" s="1"/>
    </row>
    <row r="47" spans="1:19" ht="30">
      <c r="A47" s="1" t="s">
        <v>1782</v>
      </c>
      <c r="B47" s="1">
        <v>1</v>
      </c>
      <c r="C47" s="1">
        <v>2</v>
      </c>
      <c r="D47" s="27">
        <v>45848</v>
      </c>
      <c r="E47" s="1" t="s">
        <v>1717</v>
      </c>
      <c r="F47" s="33">
        <v>45846.265393518515</v>
      </c>
      <c r="G47" s="1" t="s">
        <v>22</v>
      </c>
      <c r="H47" s="1" t="s">
        <v>1781</v>
      </c>
      <c r="I47" s="1"/>
      <c r="J47" s="27"/>
      <c r="K47" s="1"/>
      <c r="L47" s="27"/>
      <c r="M47" s="1"/>
      <c r="N47" s="19"/>
      <c r="O47" s="1">
        <f>paper_sticks[[#This Row],[Цена за 1 бр. в BGN]]*paper_sticks[[#This Row],[Поръчано Количество]]</f>
        <v>0</v>
      </c>
      <c r="P47" s="1"/>
      <c r="Q47" s="1"/>
      <c r="R47" s="1" t="str" cm="1">
        <f t="array" ref="R47">_xlfn.SWITCH(S47,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7" s="1"/>
    </row>
    <row r="48" spans="1:19" ht="30">
      <c r="A48" s="1" t="s">
        <v>1783</v>
      </c>
      <c r="B48" s="1">
        <v>2</v>
      </c>
      <c r="C48" s="1"/>
      <c r="D48" s="27">
        <v>45850</v>
      </c>
      <c r="E48" s="1" t="s">
        <v>1717</v>
      </c>
      <c r="F48" s="33">
        <v>45848.372499999998</v>
      </c>
      <c r="G48" s="1" t="s">
        <v>42</v>
      </c>
      <c r="H48" s="1" t="s">
        <v>1784</v>
      </c>
      <c r="I48" s="1"/>
      <c r="J48" s="27"/>
      <c r="K48" s="1"/>
      <c r="L48" s="27"/>
      <c r="M48" s="1"/>
      <c r="N48" s="19"/>
      <c r="O48" s="1">
        <f>paper_sticks[[#This Row],[Цена за 1 бр. в BGN]]*paper_sticks[[#This Row],[Поръчано Количество]]</f>
        <v>0</v>
      </c>
      <c r="P48" s="1"/>
      <c r="Q48" s="1"/>
      <c r="R48" s="1" t="str" cm="1">
        <f t="array" ref="R48">_xlfn.SWITCH(S48,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8" s="1"/>
    </row>
    <row r="49" spans="1:19" ht="30">
      <c r="A49" s="1" t="s">
        <v>1785</v>
      </c>
      <c r="B49" s="1">
        <v>1</v>
      </c>
      <c r="C49" s="1"/>
      <c r="D49" s="27">
        <v>45855</v>
      </c>
      <c r="E49" s="1" t="s">
        <v>1717</v>
      </c>
      <c r="F49" s="33">
        <v>45848.408946759257</v>
      </c>
      <c r="G49" s="1" t="s">
        <v>42</v>
      </c>
      <c r="H49" s="1" t="s">
        <v>1786</v>
      </c>
      <c r="I49" s="1" t="s">
        <v>1721</v>
      </c>
      <c r="J49" s="27"/>
      <c r="K49" s="1"/>
      <c r="L49" s="27"/>
      <c r="M49" s="1"/>
      <c r="N49" s="19"/>
      <c r="O49" s="1">
        <f>paper_sticks[[#This Row],[Цена за 1 бр. в BGN]]*paper_sticks[[#This Row],[Поръчано Количество]]</f>
        <v>0</v>
      </c>
      <c r="P49" s="1"/>
      <c r="Q49" s="1"/>
      <c r="R49" s="1" t="str" cm="1">
        <f t="array" ref="R49">_xlfn.SWITCH(S49,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49" s="1"/>
    </row>
    <row r="50" spans="1:19" ht="30">
      <c r="A50" s="1" t="s">
        <v>1787</v>
      </c>
      <c r="B50" s="1">
        <v>8</v>
      </c>
      <c r="C50" s="1"/>
      <c r="D50" s="27">
        <v>45856</v>
      </c>
      <c r="E50" s="1" t="s">
        <v>1717</v>
      </c>
      <c r="F50" s="33">
        <v>45853.179120370369</v>
      </c>
      <c r="G50" s="1" t="s">
        <v>22</v>
      </c>
      <c r="H50" s="1"/>
      <c r="I50" s="1"/>
      <c r="J50" s="27"/>
      <c r="K50" s="1"/>
      <c r="L50" s="27"/>
      <c r="M50" s="1"/>
      <c r="N50" s="19"/>
      <c r="O50" s="1">
        <f>paper_sticks[[#This Row],[Цена за 1 бр. в BGN]]*paper_sticks[[#This Row],[Поръчано Количество]]</f>
        <v>0</v>
      </c>
      <c r="P50" s="1"/>
      <c r="Q50" s="1"/>
      <c r="R50" s="1" t="str" cm="1">
        <f t="array" ref="R50">_xlfn.SWITCH(S50,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0" s="1"/>
    </row>
    <row r="51" spans="1:19">
      <c r="A51" s="1" t="s">
        <v>1788</v>
      </c>
      <c r="B51" s="1">
        <v>2</v>
      </c>
      <c r="C51" s="1"/>
      <c r="D51" s="27">
        <v>45856</v>
      </c>
      <c r="E51" s="1" t="s">
        <v>63</v>
      </c>
      <c r="F51" s="33">
        <v>45853.179375</v>
      </c>
      <c r="G51" s="1" t="s">
        <v>22</v>
      </c>
      <c r="H51" s="1"/>
      <c r="I51" s="1"/>
      <c r="J51" s="27"/>
      <c r="K51" s="1"/>
      <c r="L51" s="27"/>
      <c r="M51" s="1"/>
      <c r="N51" s="19"/>
      <c r="O51" s="1">
        <f>paper_sticks[[#This Row],[Цена за 1 бр. в BGN]]*paper_sticks[[#This Row],[Поръчано Количество]]</f>
        <v>0</v>
      </c>
      <c r="P51" s="1"/>
      <c r="Q51" s="1"/>
      <c r="R51" s="1" t="str" cm="1">
        <f t="array" ref="R51">_xlfn.SWITCH(S51,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1" s="1"/>
    </row>
    <row r="52" spans="1:19" ht="30">
      <c r="A52" s="1" t="s">
        <v>1789</v>
      </c>
      <c r="B52" s="1">
        <v>40</v>
      </c>
      <c r="C52" s="1"/>
      <c r="D52" s="27">
        <v>45860</v>
      </c>
      <c r="E52" s="1" t="s">
        <v>1717</v>
      </c>
      <c r="F52" s="33">
        <v>45855.40902777778</v>
      </c>
      <c r="G52" s="1" t="s">
        <v>22</v>
      </c>
      <c r="H52" s="1"/>
      <c r="I52" s="1"/>
      <c r="J52" s="27"/>
      <c r="K52" s="1"/>
      <c r="L52" s="27"/>
      <c r="M52" s="1"/>
      <c r="N52" s="19"/>
      <c r="O52" s="1">
        <f>paper_sticks[[#This Row],[Цена за 1 бр. в BGN]]*paper_sticks[[#This Row],[Поръчано Количество]]</f>
        <v>0</v>
      </c>
      <c r="P52" s="1"/>
      <c r="Q52" s="1"/>
      <c r="R52" s="1" t="str" cm="1">
        <f t="array" ref="R52">_xlfn.SWITCH(S52,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2" s="1"/>
    </row>
    <row r="53" spans="1:19" ht="30">
      <c r="A53" s="1" t="s">
        <v>1790</v>
      </c>
      <c r="B53" s="1">
        <v>2</v>
      </c>
      <c r="C53" s="1"/>
      <c r="D53" s="27">
        <v>45869</v>
      </c>
      <c r="E53" s="1" t="s">
        <v>1717</v>
      </c>
      <c r="F53" s="33">
        <v>45862.185578703706</v>
      </c>
      <c r="G53" s="1" t="s">
        <v>22</v>
      </c>
      <c r="H53" s="1" t="s">
        <v>1791</v>
      </c>
      <c r="I53" s="1"/>
      <c r="J53" s="27"/>
      <c r="K53" s="1"/>
      <c r="L53" s="27"/>
      <c r="M53" s="1"/>
      <c r="N53" s="19"/>
      <c r="O53" s="1">
        <f>paper_sticks[[#This Row],[Цена за 1 бр. в BGN]]*paper_sticks[[#This Row],[Поръчано Количество]]</f>
        <v>0</v>
      </c>
      <c r="P53" s="1"/>
      <c r="Q53" s="1"/>
      <c r="R53" s="1" t="str" cm="1">
        <f t="array" ref="R53">_xlfn.SWITCH(S53,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3" s="1"/>
    </row>
    <row r="54" spans="1:19" ht="30">
      <c r="A54" s="1" t="s">
        <v>1792</v>
      </c>
      <c r="B54" s="1">
        <v>1</v>
      </c>
      <c r="C54" s="1"/>
      <c r="D54" s="27">
        <v>45869</v>
      </c>
      <c r="E54" s="1" t="s">
        <v>1717</v>
      </c>
      <c r="F54" s="33">
        <v>45862.186041666668</v>
      </c>
      <c r="G54" s="1" t="s">
        <v>22</v>
      </c>
      <c r="H54" s="1" t="s">
        <v>1793</v>
      </c>
      <c r="I54" s="1"/>
      <c r="J54" s="27"/>
      <c r="K54" s="1"/>
      <c r="L54" s="27"/>
      <c r="M54" s="1"/>
      <c r="N54" s="19"/>
      <c r="O54" s="1">
        <f>paper_sticks[[#This Row],[Цена за 1 бр. в BGN]]*paper_sticks[[#This Row],[Поръчано Количество]]</f>
        <v>0</v>
      </c>
      <c r="P54" s="1"/>
      <c r="Q54" s="1"/>
      <c r="R54" s="1" t="str" cm="1">
        <f t="array" ref="R54">_xlfn.SWITCH(S54,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4" s="1"/>
    </row>
    <row r="55" spans="1:19" ht="30">
      <c r="A55" s="1" t="s">
        <v>1794</v>
      </c>
      <c r="B55" s="1">
        <v>2</v>
      </c>
      <c r="C55" s="1"/>
      <c r="D55" s="27">
        <v>45881</v>
      </c>
      <c r="E55" s="1" t="s">
        <v>1717</v>
      </c>
      <c r="F55" s="33">
        <v>45867.445775462962</v>
      </c>
      <c r="G55" s="1"/>
      <c r="H55" s="1"/>
      <c r="I55" s="1" t="s">
        <v>73</v>
      </c>
      <c r="J55" s="27"/>
      <c r="K55" s="1"/>
      <c r="L55" s="27"/>
      <c r="M55" s="1"/>
      <c r="N55" s="19"/>
      <c r="O55" s="1">
        <f>paper_sticks[[#This Row],[Цена за 1 бр. в BGN]]*paper_sticks[[#This Row],[Поръчано Количество]]</f>
        <v>0</v>
      </c>
      <c r="P55" s="1"/>
      <c r="Q55" s="1"/>
      <c r="R55" s="1" t="str" cm="1">
        <f t="array" ref="R55">_xlfn.SWITCH(S55,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5" s="1"/>
    </row>
    <row r="56" spans="1:19" ht="30">
      <c r="A56" s="1" t="s">
        <v>1795</v>
      </c>
      <c r="B56" s="1">
        <v>2</v>
      </c>
      <c r="C56" s="1"/>
      <c r="D56" s="27">
        <v>45880</v>
      </c>
      <c r="E56" s="1" t="s">
        <v>1717</v>
      </c>
      <c r="F56" s="33">
        <v>45867.480312500003</v>
      </c>
      <c r="G56" s="1"/>
      <c r="H56" s="1" t="s">
        <v>1796</v>
      </c>
      <c r="I56" s="1" t="s">
        <v>1721</v>
      </c>
      <c r="J56" s="27"/>
      <c r="K56" s="1"/>
      <c r="L56" s="27"/>
      <c r="M56" s="1"/>
      <c r="N56" s="19"/>
      <c r="O56" s="1">
        <f>paper_sticks[[#This Row],[Цена за 1 бр. в BGN]]*paper_sticks[[#This Row],[Поръчано Количество]]</f>
        <v>0</v>
      </c>
      <c r="P56" s="1"/>
      <c r="Q56" s="1"/>
      <c r="R56" s="1" t="str" cm="1">
        <f t="array" ref="R56">_xlfn.SWITCH(S56,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6" s="1"/>
    </row>
    <row r="57" spans="1:19" ht="30">
      <c r="A57" s="1" t="s">
        <v>1797</v>
      </c>
      <c r="B57" s="1">
        <v>10</v>
      </c>
      <c r="C57" s="1"/>
      <c r="D57" s="27">
        <v>45897</v>
      </c>
      <c r="E57" s="1" t="s">
        <v>1717</v>
      </c>
      <c r="F57" s="33">
        <v>45873.198564814818</v>
      </c>
      <c r="G57" s="1" t="s">
        <v>42</v>
      </c>
      <c r="H57" s="1" t="s">
        <v>1798</v>
      </c>
      <c r="I57" s="1" t="s">
        <v>1721</v>
      </c>
      <c r="J57" s="27"/>
      <c r="K57" s="1"/>
      <c r="L57" s="27"/>
      <c r="M57" s="1"/>
      <c r="N57" s="19"/>
      <c r="O57" s="1">
        <f>paper_sticks[[#This Row],[Цена за 1 бр. в BGN]]*paper_sticks[[#This Row],[Поръчано Количество]]</f>
        <v>0</v>
      </c>
      <c r="P57" s="1"/>
      <c r="Q57" s="1"/>
      <c r="R57" s="1" t="str" cm="1">
        <f t="array" ref="R57">_xlfn.SWITCH(S57,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7" s="1"/>
    </row>
    <row r="58" spans="1:19" ht="45">
      <c r="A58" s="1" t="s">
        <v>1799</v>
      </c>
      <c r="B58" s="1">
        <v>5</v>
      </c>
      <c r="C58" s="1"/>
      <c r="D58" s="27">
        <v>45880</v>
      </c>
      <c r="E58" s="1" t="s">
        <v>1768</v>
      </c>
      <c r="F58" s="33">
        <v>45877.446770833332</v>
      </c>
      <c r="G58" s="1" t="s">
        <v>22</v>
      </c>
      <c r="H58" s="1"/>
      <c r="I58" s="1"/>
      <c r="J58" s="27"/>
      <c r="K58" s="1"/>
      <c r="L58" s="27"/>
      <c r="M58" s="1"/>
      <c r="N58" s="19"/>
      <c r="O58" s="1">
        <f>paper_sticks[[#This Row],[Цена за 1 бр. в BGN]]*paper_sticks[[#This Row],[Поръчано Количество]]</f>
        <v>0</v>
      </c>
      <c r="P58" s="1"/>
      <c r="Q58" s="1"/>
      <c r="R58" s="1" t="str" cm="1">
        <f t="array" ref="R58">_xlfn.SWITCH(S58,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8" s="1"/>
    </row>
    <row r="59" spans="1:19" ht="30">
      <c r="A59" s="1" t="s">
        <v>1800</v>
      </c>
      <c r="B59" s="1">
        <v>1</v>
      </c>
      <c r="C59" s="1"/>
      <c r="D59" s="27">
        <v>45933</v>
      </c>
      <c r="E59" s="1" t="s">
        <v>1717</v>
      </c>
      <c r="F59" s="33">
        <v>45930</v>
      </c>
      <c r="G59" s="1" t="s">
        <v>42</v>
      </c>
      <c r="H59" s="1" t="s">
        <v>1801</v>
      </c>
      <c r="I59" s="1" t="s">
        <v>48</v>
      </c>
      <c r="J59" s="27"/>
      <c r="K59" s="1"/>
      <c r="L59" s="27"/>
      <c r="M59" s="1"/>
      <c r="N59" s="1"/>
      <c r="O59" s="1">
        <f>paper_sticks[[#This Row],[Цена за 1 бр. в BGN]]*paper_sticks[[#This Row],[Поръчано Количество]]</f>
        <v>0</v>
      </c>
      <c r="P59" s="1"/>
      <c r="Q59" s="1"/>
      <c r="R59" s="1" t="str" cm="1">
        <f t="array" ref="R59">_xlfn.SWITCH(S59,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59" s="1"/>
    </row>
    <row r="60" spans="1:19" ht="30">
      <c r="A60" s="1" t="s">
        <v>1802</v>
      </c>
      <c r="B60" s="1">
        <v>20</v>
      </c>
      <c r="C60" s="1">
        <v>20</v>
      </c>
      <c r="D60" s="27">
        <v>45939</v>
      </c>
      <c r="E60" s="1" t="s">
        <v>1717</v>
      </c>
      <c r="F60" s="33">
        <v>45936.376342592594</v>
      </c>
      <c r="G60" s="1" t="s">
        <v>22</v>
      </c>
      <c r="H60" s="1" t="s">
        <v>308</v>
      </c>
      <c r="I60" s="1" t="s">
        <v>101</v>
      </c>
      <c r="J60" s="27"/>
      <c r="K60" s="1"/>
      <c r="L60" s="27">
        <v>45936</v>
      </c>
      <c r="M60" s="1"/>
      <c r="N60" s="1">
        <v>8.2729999999999997</v>
      </c>
      <c r="O60" s="1">
        <f>paper_sticks[[#This Row],[Цена за 1 бр. в BGN]]*paper_sticks[[#This Row],[Поръчано Количество]]</f>
        <v>165.45999999999998</v>
      </c>
      <c r="P60" s="1"/>
      <c r="Q60" s="1"/>
      <c r="R60" s="1" t="str" cm="1">
        <f t="array" ref="R60">_xlfn.SWITCH(S60,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0" s="1"/>
    </row>
    <row r="61" spans="1:19" ht="45">
      <c r="A61" s="1" t="s">
        <v>1803</v>
      </c>
      <c r="B61" s="1">
        <v>8</v>
      </c>
      <c r="C61" s="1"/>
      <c r="D61" s="27">
        <v>45961</v>
      </c>
      <c r="E61" s="1" t="s">
        <v>1717</v>
      </c>
      <c r="F61" s="33">
        <v>45950.299571759257</v>
      </c>
      <c r="G61" s="1"/>
      <c r="H61" s="1"/>
      <c r="I61" s="1" t="s">
        <v>1721</v>
      </c>
      <c r="J61" s="27"/>
      <c r="K61" s="1"/>
      <c r="L61" s="27"/>
      <c r="M61" s="1"/>
      <c r="N61" s="1"/>
      <c r="O61" s="1">
        <f>paper_sticks[[#This Row],[Цена за 1 бр. в BGN]]*paper_sticks[[#This Row],[Поръчано Количество]]</f>
        <v>0</v>
      </c>
      <c r="P61" s="1"/>
      <c r="Q61" s="1"/>
      <c r="R61" s="1" t="str" cm="1">
        <f t="array" ref="R61">_xlfn.SWITCH(S61,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1" s="1"/>
    </row>
    <row r="62" spans="1:19" ht="30">
      <c r="A62" s="1" t="s">
        <v>1804</v>
      </c>
      <c r="B62" s="1">
        <v>100</v>
      </c>
      <c r="C62" s="1"/>
      <c r="D62" s="27">
        <v>45961</v>
      </c>
      <c r="E62" s="1" t="s">
        <v>1717</v>
      </c>
      <c r="F62" s="33">
        <v>45951.403657407405</v>
      </c>
      <c r="G62" s="1" t="s">
        <v>22</v>
      </c>
      <c r="H62" s="38">
        <v>202085</v>
      </c>
      <c r="I62" s="1" t="s">
        <v>58</v>
      </c>
      <c r="J62" s="27">
        <v>46002</v>
      </c>
      <c r="K62" s="1"/>
      <c r="L62" s="27"/>
      <c r="M62" s="1"/>
      <c r="N62" s="1"/>
      <c r="O62" s="1">
        <f>paper_sticks[[#This Row],[Цена за 1 бр. в BGN]]*paper_sticks[[#This Row],[Поръчано Количество]]</f>
        <v>0</v>
      </c>
      <c r="P62" s="1"/>
      <c r="Q62" s="1"/>
      <c r="R62" s="1" t="str" cm="1">
        <f t="array" ref="R62">_xlfn.SWITCH(S62,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2" s="1"/>
    </row>
    <row r="63" spans="1:19" ht="45">
      <c r="A63" s="1" t="s">
        <v>1805</v>
      </c>
      <c r="B63" s="1">
        <v>2</v>
      </c>
      <c r="C63" s="1"/>
      <c r="D63" s="27">
        <v>45975</v>
      </c>
      <c r="E63" s="1" t="s">
        <v>1768</v>
      </c>
      <c r="F63" s="33">
        <v>45958.218738425923</v>
      </c>
      <c r="G63" s="1"/>
      <c r="H63" s="1"/>
      <c r="I63" s="1"/>
      <c r="J63" s="27"/>
      <c r="K63" s="1"/>
      <c r="L63" s="27"/>
      <c r="M63" s="1"/>
      <c r="N63" s="1"/>
      <c r="O63" s="1">
        <f>paper_sticks[[#This Row],[Цена за 1 бр. в BGN]]*paper_sticks[[#This Row],[Поръчано Количество]]</f>
        <v>0</v>
      </c>
      <c r="P63" s="1"/>
      <c r="Q63" s="1"/>
      <c r="R63" s="1" t="str" cm="1">
        <f t="array" ref="R63">_xlfn.SWITCH(S63,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3" s="1"/>
    </row>
    <row r="64" spans="1:19" ht="30">
      <c r="A64" s="1" t="s">
        <v>1806</v>
      </c>
      <c r="B64" s="1">
        <v>16</v>
      </c>
      <c r="C64" s="1"/>
      <c r="D64" s="27">
        <v>45968</v>
      </c>
      <c r="E64" s="1" t="s">
        <v>1717</v>
      </c>
      <c r="F64" s="33">
        <v>45958.247060185182</v>
      </c>
      <c r="G64" s="1" t="s">
        <v>22</v>
      </c>
      <c r="H64" s="38">
        <v>202085</v>
      </c>
      <c r="I64" s="1" t="s">
        <v>58</v>
      </c>
      <c r="J64" s="27">
        <v>46002</v>
      </c>
      <c r="K64" s="1"/>
      <c r="L64" s="27"/>
      <c r="M64" s="1"/>
      <c r="N64" s="1"/>
      <c r="O64" s="1">
        <f>paper_sticks[[#This Row],[Цена за 1 бр. в BGN]]*paper_sticks[[#This Row],[Поръчано Количество]]</f>
        <v>0</v>
      </c>
      <c r="P64" s="1"/>
      <c r="Q64" s="1"/>
      <c r="R64" s="1" t="str" cm="1">
        <f t="array" ref="R64">_xlfn.SWITCH(S64,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4" s="1"/>
    </row>
    <row r="65" spans="1:19" ht="45">
      <c r="A65" s="1" t="s">
        <v>1807</v>
      </c>
      <c r="B65" s="1">
        <v>1</v>
      </c>
      <c r="C65" s="1"/>
      <c r="D65" s="27">
        <v>45989</v>
      </c>
      <c r="E65" s="1" t="s">
        <v>1768</v>
      </c>
      <c r="F65" s="33">
        <v>45958.248807870368</v>
      </c>
      <c r="G65" s="1" t="s">
        <v>22</v>
      </c>
      <c r="H65" s="1"/>
      <c r="I65" s="1" t="s">
        <v>46</v>
      </c>
      <c r="J65" s="27"/>
      <c r="K65" s="1"/>
      <c r="L65" s="27"/>
      <c r="M65" s="1"/>
      <c r="N65" s="1"/>
      <c r="O65" s="1">
        <f>paper_sticks[[#This Row],[Цена за 1 бр. в BGN]]*paper_sticks[[#This Row],[Поръчано Количество]]</f>
        <v>0</v>
      </c>
      <c r="P65" s="1"/>
      <c r="Q65" s="1"/>
      <c r="R65" s="1" t="str" cm="1">
        <f t="array" ref="R65">_xlfn.SWITCH(S65,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65" s="1"/>
    </row>
    <row r="66" spans="1:19" ht="30">
      <c r="A66" s="1" t="s">
        <v>1808</v>
      </c>
      <c r="B66" s="1">
        <v>20</v>
      </c>
      <c r="C66" s="1">
        <v>30</v>
      </c>
      <c r="D66" s="27">
        <v>45974</v>
      </c>
      <c r="E66" s="1" t="s">
        <v>1717</v>
      </c>
      <c r="F66" s="33">
        <v>45967.493761574071</v>
      </c>
      <c r="G66" s="1" t="s">
        <v>22</v>
      </c>
      <c r="H66" s="1"/>
      <c r="I66" s="1" t="s">
        <v>1721</v>
      </c>
      <c r="J66" s="27">
        <v>45974</v>
      </c>
      <c r="K66" s="1"/>
      <c r="L66" s="27">
        <v>45971</v>
      </c>
      <c r="M66" s="1">
        <v>10</v>
      </c>
      <c r="N66" s="1">
        <f>39.97*1.95583</f>
        <v>78.174525099999997</v>
      </c>
      <c r="O66" s="1">
        <f>paper_sticks[[#This Row],[Цена за 1 бр. в BGN]]*paper_sticks[[#This Row],[Поръчано Количество]]</f>
        <v>2345.2357529999999</v>
      </c>
      <c r="P66" s="1"/>
      <c r="Q66" s="1"/>
      <c r="R66" s="1" t="str" cm="1">
        <f t="array" ref="R66">_xlfn.SWITCH(S66,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66" s="1" t="s">
        <v>461</v>
      </c>
    </row>
    <row r="67" spans="1:19" ht="30">
      <c r="A67" s="1" t="s">
        <v>1809</v>
      </c>
      <c r="B67" s="1">
        <v>10</v>
      </c>
      <c r="C67" s="1">
        <v>10</v>
      </c>
      <c r="D67" s="27">
        <v>45979</v>
      </c>
      <c r="E67" s="1" t="s">
        <v>1717</v>
      </c>
      <c r="F67" s="33">
        <v>45972.364062499997</v>
      </c>
      <c r="G67" s="1" t="s">
        <v>22</v>
      </c>
      <c r="H67" s="1" t="s">
        <v>308</v>
      </c>
      <c r="I67" s="1" t="s">
        <v>101</v>
      </c>
      <c r="J67" s="27"/>
      <c r="K67" s="1"/>
      <c r="L67" s="27">
        <v>45972</v>
      </c>
      <c r="M67" s="1"/>
      <c r="N67" s="1"/>
      <c r="O67" s="1">
        <f>paper_sticks[[#This Row],[Цена за 1 бр. в BGN]]*paper_sticks[[#This Row],[Поръчано Количество]]</f>
        <v>0</v>
      </c>
      <c r="P67" s="1"/>
      <c r="Q67" s="1"/>
      <c r="R67" s="1" t="str" cm="1">
        <f t="array" ref="R67">_xlfn.SWITCH(S67,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67" s="1" t="s">
        <v>1040</v>
      </c>
    </row>
    <row r="68" spans="1:19" ht="30">
      <c r="A68" s="1" t="s">
        <v>1810</v>
      </c>
      <c r="B68" s="1">
        <v>10</v>
      </c>
      <c r="C68" s="1">
        <v>10</v>
      </c>
      <c r="D68" s="27">
        <v>45979</v>
      </c>
      <c r="E68" s="1" t="s">
        <v>1717</v>
      </c>
      <c r="F68" s="33">
        <v>45972.369432870371</v>
      </c>
      <c r="G68" s="1" t="s">
        <v>22</v>
      </c>
      <c r="H68" s="1" t="s">
        <v>308</v>
      </c>
      <c r="I68" s="1" t="s">
        <v>101</v>
      </c>
      <c r="J68" s="27"/>
      <c r="K68" s="1"/>
      <c r="L68" s="27">
        <v>45972</v>
      </c>
      <c r="M68" s="1"/>
      <c r="N68" s="1"/>
      <c r="O68" s="1">
        <f>paper_sticks[[#This Row],[Цена за 1 бр. в BGN]]*paper_sticks[[#This Row],[Поръчано Количество]]</f>
        <v>0</v>
      </c>
      <c r="P68" s="1"/>
      <c r="Q68" s="1"/>
      <c r="R68" s="1" t="str" cm="1">
        <f t="array" ref="R68">_xlfn.SWITCH(S68,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68" s="1" t="s">
        <v>1040</v>
      </c>
    </row>
    <row r="69" spans="1:19" ht="30">
      <c r="A69" s="1" t="s">
        <v>1811</v>
      </c>
      <c r="B69" s="1">
        <v>16</v>
      </c>
      <c r="C69" s="1"/>
      <c r="D69" s="27">
        <v>45973</v>
      </c>
      <c r="E69" s="1" t="s">
        <v>1717</v>
      </c>
      <c r="F69" s="33">
        <v>45972.535879629628</v>
      </c>
      <c r="G69" s="1"/>
      <c r="H69" s="1"/>
      <c r="I69" s="1" t="s">
        <v>24</v>
      </c>
      <c r="J69" s="27"/>
      <c r="K69" s="1"/>
      <c r="L69" s="27"/>
      <c r="M69" s="1"/>
      <c r="N69" s="1"/>
      <c r="O69" s="1">
        <f>paper_sticks[[#This Row],[Цена за 1 бр. в BGN]]*paper_sticks[[#This Row],[Поръчано Количество]]</f>
        <v>0</v>
      </c>
      <c r="P69" s="1"/>
      <c r="Q69" s="1"/>
      <c r="R69" s="1" t="str" cm="1">
        <f t="array" ref="R69">_xlfn.SWITCH(S69,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69" s="1" t="s">
        <v>1040</v>
      </c>
    </row>
    <row r="70" spans="1:19" ht="30">
      <c r="A70" s="1" t="s">
        <v>1812</v>
      </c>
      <c r="B70" s="1">
        <v>200</v>
      </c>
      <c r="C70" s="1"/>
      <c r="D70" s="27">
        <v>45981</v>
      </c>
      <c r="E70" s="1" t="s">
        <v>1717</v>
      </c>
      <c r="F70" s="33">
        <v>45973.275752314818</v>
      </c>
      <c r="G70" s="1" t="s">
        <v>22</v>
      </c>
      <c r="H70" s="1"/>
      <c r="I70" s="1"/>
      <c r="J70" s="27"/>
      <c r="K70" s="1"/>
      <c r="L70" s="27"/>
      <c r="M70" s="1"/>
      <c r="N70" s="1"/>
      <c r="O70" s="1">
        <f>paper_sticks[[#This Row],[Цена за 1 бр. в BGN]]*paper_sticks[[#This Row],[Поръчано Количество]]</f>
        <v>0</v>
      </c>
      <c r="P70" s="1"/>
      <c r="Q70" s="1"/>
      <c r="R70" s="1" t="str" cm="1">
        <f t="array" ref="R70">_xlfn.SWITCH(S70,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70" s="1" t="s">
        <v>1040</v>
      </c>
    </row>
    <row r="71" spans="1:19" ht="30">
      <c r="A71" s="1" t="s">
        <v>1813</v>
      </c>
      <c r="B71" s="1">
        <v>1</v>
      </c>
      <c r="C71" s="1"/>
      <c r="D71" s="27">
        <v>45988</v>
      </c>
      <c r="E71" s="1" t="s">
        <v>1717</v>
      </c>
      <c r="F71" s="33">
        <v>45973.277939814812</v>
      </c>
      <c r="G71" s="1"/>
      <c r="H71" s="1"/>
      <c r="I71" s="1" t="s">
        <v>1721</v>
      </c>
      <c r="J71" s="27"/>
      <c r="K71" s="1"/>
      <c r="L71" s="27"/>
      <c r="M71" s="1"/>
      <c r="N71" s="1"/>
      <c r="O71" s="1">
        <f>paper_sticks[[#This Row],[Цена за 1 бр. в BGN]]*paper_sticks[[#This Row],[Поръчано Количество]]</f>
        <v>0</v>
      </c>
      <c r="P71" s="1"/>
      <c r="Q71" s="1"/>
      <c r="R71" s="1" t="str" cm="1">
        <f t="array" ref="R71">_xlfn.SWITCH(S71,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71" s="1" t="s">
        <v>1040</v>
      </c>
    </row>
    <row r="72" spans="1:19" ht="45">
      <c r="A72" s="1" t="s">
        <v>1814</v>
      </c>
      <c r="B72" s="1">
        <v>3</v>
      </c>
      <c r="C72" s="1">
        <v>3</v>
      </c>
      <c r="D72" s="27">
        <v>46017</v>
      </c>
      <c r="E72" s="1" t="s">
        <v>1717</v>
      </c>
      <c r="F72" s="33">
        <v>45974.484143518515</v>
      </c>
      <c r="G72" s="1" t="s">
        <v>731</v>
      </c>
      <c r="H72" s="1" t="s">
        <v>1815</v>
      </c>
      <c r="I72" s="1" t="s">
        <v>1721</v>
      </c>
      <c r="J72" s="27"/>
      <c r="K72" s="1"/>
      <c r="L72" s="27"/>
      <c r="M72" s="1"/>
      <c r="N72" s="1">
        <f>1.95583*7338.24</f>
        <v>14352.349939199999</v>
      </c>
      <c r="O72" s="1">
        <f>paper_sticks[[#This Row],[Цена за 1 бр. в BGN]]*paper_sticks[[#This Row],[Поръчано Количество]]</f>
        <v>43057.049817599996</v>
      </c>
      <c r="P72" s="1"/>
      <c r="Q72" s="1"/>
      <c r="R72" s="1" t="str" cm="1">
        <f t="array" ref="R72">_xlfn.SWITCH(S72,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72" s="1" t="s">
        <v>461</v>
      </c>
    </row>
    <row r="73" spans="1:19" ht="45">
      <c r="A73" s="1" t="s">
        <v>1816</v>
      </c>
      <c r="B73" s="1">
        <v>3</v>
      </c>
      <c r="C73" s="1">
        <v>3</v>
      </c>
      <c r="D73" s="27">
        <v>46017</v>
      </c>
      <c r="E73" s="1" t="s">
        <v>1717</v>
      </c>
      <c r="F73" s="33">
        <v>45974.485185185185</v>
      </c>
      <c r="G73" s="1" t="s">
        <v>731</v>
      </c>
      <c r="H73" s="1" t="s">
        <v>1815</v>
      </c>
      <c r="I73" s="1" t="s">
        <v>1721</v>
      </c>
      <c r="J73" s="27"/>
      <c r="K73" s="1"/>
      <c r="L73" s="27"/>
      <c r="M73" s="1"/>
      <c r="N73" s="1">
        <f>1.95583*4577.58</f>
        <v>8952.9682914000005</v>
      </c>
      <c r="O73" s="1">
        <f>paper_sticks[[#This Row],[Цена за 1 бр. в BGN]]*paper_sticks[[#This Row],[Поръчано Количество]]</f>
        <v>26858.904874200001</v>
      </c>
      <c r="P73" s="1"/>
      <c r="Q73" s="1"/>
      <c r="R73" s="1" t="str" cm="1">
        <f t="array" ref="R73">_xlfn.SWITCH(S73,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73" s="1" t="s">
        <v>461</v>
      </c>
    </row>
    <row r="74" spans="1:19" ht="45">
      <c r="A74" s="1" t="s">
        <v>1817</v>
      </c>
      <c r="B74" s="1">
        <v>6</v>
      </c>
      <c r="C74" s="1"/>
      <c r="D74" s="27">
        <v>46001</v>
      </c>
      <c r="E74" s="1" t="s">
        <v>1717</v>
      </c>
      <c r="F74" s="33">
        <v>45999.407638888886</v>
      </c>
      <c r="G74" s="1" t="s">
        <v>731</v>
      </c>
      <c r="H74" s="1"/>
      <c r="I74" s="1" t="s">
        <v>104</v>
      </c>
      <c r="J74" s="27"/>
      <c r="K74" s="1"/>
      <c r="L74" s="27"/>
      <c r="M74" s="1"/>
      <c r="N74" s="1"/>
      <c r="O74" s="1">
        <f>paper_sticks[[#This Row],[Цена за 1 бр. в BGN]]*paper_sticks[[#This Row],[Поръчано Количество]]</f>
        <v>0</v>
      </c>
      <c r="P74" s="1"/>
      <c r="Q74" s="1"/>
      <c r="R74" s="1" t="str" cm="1">
        <f t="array" ref="R74">_xlfn.SWITCH(S74,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74" s="1" t="s">
        <v>461</v>
      </c>
    </row>
    <row r="75" spans="1:19" ht="45">
      <c r="A75" s="1" t="s">
        <v>1818</v>
      </c>
      <c r="B75" s="1">
        <v>50</v>
      </c>
      <c r="C75" s="1"/>
      <c r="D75" s="27">
        <v>46010</v>
      </c>
      <c r="E75" s="1" t="s">
        <v>1717</v>
      </c>
      <c r="F75" s="33">
        <v>46000.207662037035</v>
      </c>
      <c r="G75" s="1" t="s">
        <v>22</v>
      </c>
      <c r="H75" s="38">
        <v>202085</v>
      </c>
      <c r="I75" s="1" t="s">
        <v>58</v>
      </c>
      <c r="J75" s="27">
        <v>46002</v>
      </c>
      <c r="K75" s="1"/>
      <c r="L75" s="27"/>
      <c r="M75" s="1"/>
      <c r="N75" s="1"/>
      <c r="O75" s="1">
        <f>paper_sticks[[#This Row],[Цена за 1 бр. в BGN]]*paper_sticks[[#This Row],[Поръчано Количество]]</f>
        <v>0</v>
      </c>
      <c r="P75" s="1"/>
      <c r="Q75" s="1"/>
      <c r="R75" s="1" t="str" cm="1">
        <f t="array" ref="R75">_xlfn.SWITCH(S75,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75" s="1" t="s">
        <v>461</v>
      </c>
    </row>
    <row r="76" spans="1:19" ht="30">
      <c r="A76" s="1" t="s">
        <v>1819</v>
      </c>
      <c r="B76" s="1">
        <v>1</v>
      </c>
      <c r="C76" s="1"/>
      <c r="D76" s="27">
        <v>46010</v>
      </c>
      <c r="E76" s="1" t="s">
        <v>63</v>
      </c>
      <c r="F76" s="33">
        <v>46000.208032407405</v>
      </c>
      <c r="G76" s="1" t="s">
        <v>22</v>
      </c>
      <c r="H76" s="38">
        <v>202085</v>
      </c>
      <c r="I76" s="1" t="s">
        <v>58</v>
      </c>
      <c r="J76" s="27">
        <v>46002</v>
      </c>
      <c r="K76" s="1"/>
      <c r="L76" s="27"/>
      <c r="M76" s="1"/>
      <c r="N76" s="1"/>
      <c r="O76" s="1">
        <f>paper_sticks[[#This Row],[Цена за 1 бр. в BGN]]*paper_sticks[[#This Row],[Поръчано Количество]]</f>
        <v>0</v>
      </c>
      <c r="P76" s="1"/>
      <c r="Q76" s="1"/>
      <c r="R76" s="1" t="str" cm="1">
        <f t="array" ref="R76">_xlfn.SWITCH(S76,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76" s="1" t="s">
        <v>461</v>
      </c>
    </row>
    <row r="77" spans="1:19" ht="30">
      <c r="A77" s="1" t="s">
        <v>1820</v>
      </c>
      <c r="B77" s="1">
        <v>2</v>
      </c>
      <c r="C77" s="1"/>
      <c r="D77" s="27">
        <v>46010</v>
      </c>
      <c r="E77" s="1" t="s">
        <v>63</v>
      </c>
      <c r="F77" s="33">
        <v>46000.208379629628</v>
      </c>
      <c r="G77" s="1" t="s">
        <v>22</v>
      </c>
      <c r="H77" s="38">
        <v>202085</v>
      </c>
      <c r="I77" s="1" t="s">
        <v>58</v>
      </c>
      <c r="J77" s="27">
        <v>46002</v>
      </c>
      <c r="K77" s="1"/>
      <c r="L77" s="27"/>
      <c r="M77" s="1"/>
      <c r="N77" s="1"/>
      <c r="O77" s="1">
        <f>paper_sticks[[#This Row],[Цена за 1 бр. в BGN]]*paper_sticks[[#This Row],[Поръчано Количество]]</f>
        <v>0</v>
      </c>
      <c r="P77" s="1"/>
      <c r="Q77" s="1"/>
      <c r="R77" s="1" t="str" cm="1">
        <f t="array" ref="R77">_xlfn.SWITCH(S77,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77" s="1" t="s">
        <v>461</v>
      </c>
    </row>
    <row r="78" spans="1:19" ht="30">
      <c r="A78" s="1" t="s">
        <v>1821</v>
      </c>
      <c r="B78" s="1">
        <v>1</v>
      </c>
      <c r="C78" s="1"/>
      <c r="D78" s="27">
        <v>46010</v>
      </c>
      <c r="E78" s="1" t="s">
        <v>1717</v>
      </c>
      <c r="F78" s="33">
        <v>46000.208981481483</v>
      </c>
      <c r="G78" s="1" t="s">
        <v>22</v>
      </c>
      <c r="H78" s="38">
        <v>202085</v>
      </c>
      <c r="I78" s="1" t="s">
        <v>58</v>
      </c>
      <c r="J78" s="27">
        <v>46002</v>
      </c>
      <c r="K78" s="1"/>
      <c r="L78" s="27"/>
      <c r="M78" s="1"/>
      <c r="N78" s="1"/>
      <c r="O78" s="1">
        <f>paper_sticks[[#This Row],[Цена за 1 бр. в BGN]]*paper_sticks[[#This Row],[Поръчано Количество]]</f>
        <v>0</v>
      </c>
      <c r="P78" s="1"/>
      <c r="Q78" s="1"/>
      <c r="R78" s="1" t="str" cm="1">
        <f t="array" ref="R78">_xlfn.SWITCH(S78,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78" s="1" t="s">
        <v>461</v>
      </c>
    </row>
    <row r="79" spans="1:19" ht="30">
      <c r="A79" s="1" t="s">
        <v>1822</v>
      </c>
      <c r="B79" s="1">
        <v>1</v>
      </c>
      <c r="C79" s="1"/>
      <c r="D79" s="27">
        <v>46010</v>
      </c>
      <c r="E79" s="1" t="s">
        <v>63</v>
      </c>
      <c r="F79" s="33">
        <v>46000.209178240744</v>
      </c>
      <c r="G79" s="1" t="s">
        <v>22</v>
      </c>
      <c r="H79" s="38">
        <v>202085</v>
      </c>
      <c r="I79" s="1" t="s">
        <v>58</v>
      </c>
      <c r="J79" s="27">
        <v>46002</v>
      </c>
      <c r="K79" s="1"/>
      <c r="L79" s="27"/>
      <c r="M79" s="1"/>
      <c r="N79" s="1"/>
      <c r="O79" s="1">
        <f>paper_sticks[[#This Row],[Цена за 1 бр. в BGN]]*paper_sticks[[#This Row],[Поръчано Количество]]</f>
        <v>0</v>
      </c>
      <c r="P79" s="1"/>
      <c r="Q79" s="1"/>
      <c r="R79" s="1" t="str" cm="1">
        <f t="array" ref="R79">_xlfn.SWITCH(S79,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79" s="1" t="s">
        <v>461</v>
      </c>
    </row>
    <row r="80" spans="1:19" ht="45">
      <c r="A80" s="1" t="s">
        <v>1823</v>
      </c>
      <c r="B80" s="1">
        <v>5</v>
      </c>
      <c r="C80" s="1"/>
      <c r="D80" s="27">
        <v>46009</v>
      </c>
      <c r="E80" s="1" t="s">
        <v>1717</v>
      </c>
      <c r="F80" s="33">
        <v>46007.345590277779</v>
      </c>
      <c r="G80" s="1"/>
      <c r="H80" s="39"/>
      <c r="I80" s="1"/>
      <c r="J80" s="27"/>
      <c r="K80" s="1"/>
      <c r="L80" s="27"/>
      <c r="M80" s="1"/>
      <c r="N80" s="1"/>
      <c r="O80" s="1">
        <f>paper_sticks[[#This Row],[Цена за 1 бр. в BGN]]*paper_sticks[[#This Row],[Поръчано Количество]]</f>
        <v>0</v>
      </c>
      <c r="P80" s="1"/>
      <c r="Q80" s="1"/>
      <c r="R80" s="1" t="str" cm="1">
        <f t="array" ref="R80">_xlfn.SWITCH(S80,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80" s="1" t="s">
        <v>1040</v>
      </c>
    </row>
    <row r="81" spans="1:19" ht="30">
      <c r="A81" s="1" t="s">
        <v>1824</v>
      </c>
      <c r="B81" s="1">
        <v>250</v>
      </c>
      <c r="C81" s="1"/>
      <c r="D81" s="27">
        <v>46012</v>
      </c>
      <c r="E81" s="1" t="s">
        <v>1717</v>
      </c>
      <c r="F81" s="33">
        <v>46007.47</v>
      </c>
      <c r="G81" s="1"/>
      <c r="H81" s="39"/>
      <c r="I81" s="1"/>
      <c r="J81" s="27"/>
      <c r="K81" s="1"/>
      <c r="L81" s="27"/>
      <c r="M81" s="1"/>
      <c r="N81" s="1"/>
      <c r="O81" s="1">
        <f>paper_sticks[[#This Row],[Цена за 1 бр. в BGN]]*paper_sticks[[#This Row],[Поръчано Количество]]</f>
        <v>0</v>
      </c>
      <c r="P81" s="1"/>
      <c r="Q81" s="1"/>
      <c r="R81" s="1" t="str" cm="1">
        <f t="array" ref="R81">_xlfn.SWITCH(S81,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81" s="1" t="s">
        <v>1040</v>
      </c>
    </row>
    <row r="82" spans="1:19" ht="30">
      <c r="A82" s="1" t="s">
        <v>1825</v>
      </c>
      <c r="B82" s="1">
        <v>5</v>
      </c>
      <c r="C82" s="1"/>
      <c r="D82" s="27">
        <v>46012</v>
      </c>
      <c r="E82" s="1" t="s">
        <v>1717</v>
      </c>
      <c r="F82" s="33">
        <v>46007.470972222225</v>
      </c>
      <c r="G82" s="1"/>
      <c r="H82" s="39"/>
      <c r="I82" s="1"/>
      <c r="J82" s="27"/>
      <c r="K82" s="1"/>
      <c r="L82" s="27"/>
      <c r="M82" s="1"/>
      <c r="N82" s="1"/>
      <c r="O82" s="1">
        <f>paper_sticks[[#This Row],[Цена за 1 бр. в BGN]]*paper_sticks[[#This Row],[Поръчано Количество]]</f>
        <v>0</v>
      </c>
      <c r="P82" s="1"/>
      <c r="Q82" s="1"/>
      <c r="R82" s="1" t="str" cm="1">
        <f t="array" ref="R82">_xlfn.SWITCH(S82,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82" s="1" t="s">
        <v>1040</v>
      </c>
    </row>
    <row r="83" spans="1:19" ht="30">
      <c r="A83" s="1" t="s">
        <v>1826</v>
      </c>
      <c r="B83" s="1">
        <v>12</v>
      </c>
      <c r="C83" s="1"/>
      <c r="D83" s="27">
        <v>46042</v>
      </c>
      <c r="E83" s="1" t="s">
        <v>1717</v>
      </c>
      <c r="F83" s="33">
        <v>46036.520509259259</v>
      </c>
      <c r="G83" s="1"/>
      <c r="H83" s="39"/>
      <c r="I83" s="1"/>
      <c r="J83" s="27"/>
      <c r="K83" s="1"/>
      <c r="L83" s="27"/>
      <c r="M83" s="1"/>
      <c r="N83" s="1"/>
      <c r="O83" s="1">
        <f>paper_sticks[[#This Row],[Цена за 1 бр. в BGN]]*paper_sticks[[#This Row],[Поръчано Количество]]</f>
        <v>0</v>
      </c>
      <c r="P83" s="1"/>
      <c r="Q83" s="1"/>
      <c r="R83" s="1" t="str" cm="1">
        <f t="array" ref="R83">_xlfn.SWITCH(S83,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83" s="1" t="s">
        <v>1040</v>
      </c>
    </row>
    <row r="84" spans="1:19" ht="30">
      <c r="A84" s="1" t="s">
        <v>1827</v>
      </c>
      <c r="B84" s="1">
        <v>1</v>
      </c>
      <c r="C84" s="1"/>
      <c r="D84" s="27">
        <v>46059</v>
      </c>
      <c r="E84" s="1" t="s">
        <v>1717</v>
      </c>
      <c r="F84" s="33">
        <v>46042.432962962965</v>
      </c>
      <c r="G84" s="1" t="s">
        <v>235</v>
      </c>
      <c r="H84" s="39" t="s">
        <v>1828</v>
      </c>
      <c r="I84" s="1" t="s">
        <v>46</v>
      </c>
      <c r="J84" s="27">
        <v>46077</v>
      </c>
      <c r="K84" s="1"/>
      <c r="L84" s="27"/>
      <c r="M84" s="1"/>
      <c r="N84" s="1">
        <f>248.08*1.95583</f>
        <v>485.2023064</v>
      </c>
      <c r="O84" s="1">
        <f>paper_sticks[[#This Row],[Цена за 1 бр. в BGN]]*paper_sticks[[#This Row],[Поръчано Количество]]</f>
        <v>0</v>
      </c>
      <c r="P84" s="1"/>
      <c r="Q84" s="1"/>
      <c r="R84" s="1" t="str" cm="1">
        <f t="array" ref="R84">_xlfn.SWITCH(S84,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84" s="1" t="s">
        <v>461</v>
      </c>
    </row>
    <row r="85" spans="1:19" ht="30">
      <c r="A85" s="1" t="s">
        <v>1829</v>
      </c>
      <c r="B85" s="1">
        <v>333</v>
      </c>
      <c r="C85" s="1"/>
      <c r="D85" s="27">
        <v>46052</v>
      </c>
      <c r="E85" s="1" t="s">
        <v>63</v>
      </c>
      <c r="F85" s="33">
        <v>46043.470578703702</v>
      </c>
      <c r="G85" s="1"/>
      <c r="H85" s="39"/>
      <c r="I85" s="1"/>
      <c r="J85" s="27"/>
      <c r="K85" s="1"/>
      <c r="L85" s="27"/>
      <c r="M85" s="1"/>
      <c r="N85" s="1"/>
      <c r="O85" s="1">
        <f>paper_sticks[[#This Row],[Цена за 1 бр. в BGN]]*paper_sticks[[#This Row],[Поръчано Количество]]</f>
        <v>0</v>
      </c>
      <c r="P85" s="1"/>
      <c r="Q85" s="1"/>
      <c r="R85" s="1" t="str" cm="1">
        <f t="array" ref="R85">_xlfn.SWITCH(S85,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85" s="1" t="s">
        <v>461</v>
      </c>
    </row>
    <row r="86" spans="1:19" ht="30">
      <c r="A86" s="1" t="s">
        <v>1830</v>
      </c>
      <c r="B86" s="1">
        <v>66</v>
      </c>
      <c r="C86" s="1"/>
      <c r="D86" s="27">
        <v>46045</v>
      </c>
      <c r="E86" s="1" t="s">
        <v>63</v>
      </c>
      <c r="F86" s="33">
        <v>46043.473009259258</v>
      </c>
      <c r="G86" s="1"/>
      <c r="H86" s="39"/>
      <c r="I86" s="1"/>
      <c r="J86" s="27"/>
      <c r="K86" s="1"/>
      <c r="L86" s="27"/>
      <c r="M86" s="1"/>
      <c r="N86" s="1"/>
      <c r="O86" s="1">
        <f>paper_sticks[[#This Row],[Цена за 1 бр. в BGN]]*paper_sticks[[#This Row],[Поръчано Количество]]</f>
        <v>0</v>
      </c>
      <c r="P86" s="1"/>
      <c r="Q86" s="1"/>
      <c r="R86" s="1" t="str" cm="1">
        <f t="array" ref="R86">_xlfn.SWITCH(S86,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86" s="1" t="s">
        <v>461</v>
      </c>
    </row>
    <row r="87" spans="1:19" ht="30">
      <c r="A87" s="1" t="s">
        <v>1831</v>
      </c>
      <c r="B87" s="1">
        <v>1</v>
      </c>
      <c r="C87" s="1"/>
      <c r="D87" s="27">
        <v>46052</v>
      </c>
      <c r="E87" s="1" t="s">
        <v>63</v>
      </c>
      <c r="F87" s="33">
        <v>46043.495381944442</v>
      </c>
      <c r="G87" s="1"/>
      <c r="H87" s="39"/>
      <c r="I87" s="1"/>
      <c r="J87" s="27"/>
      <c r="K87" s="1"/>
      <c r="L87" s="27"/>
      <c r="M87" s="1"/>
      <c r="N87" s="1"/>
      <c r="O87" s="1">
        <f>paper_sticks[[#This Row],[Цена за 1 бр. в BGN]]*paper_sticks[[#This Row],[Поръчано Количество]]</f>
        <v>0</v>
      </c>
      <c r="P87" s="1"/>
      <c r="Q87" s="1"/>
      <c r="R87" s="1" t="str" cm="1">
        <f t="array" ref="R87">_xlfn.SWITCH(S87,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87" s="1" t="s">
        <v>461</v>
      </c>
    </row>
    <row r="88" spans="1:19" ht="195">
      <c r="A88" s="1" t="s">
        <v>1832</v>
      </c>
      <c r="B88" s="1">
        <v>2</v>
      </c>
      <c r="C88" s="1"/>
      <c r="D88" s="27">
        <v>46058</v>
      </c>
      <c r="E88" s="1" t="s">
        <v>1717</v>
      </c>
      <c r="F88" s="33">
        <v>46055.407523148147</v>
      </c>
      <c r="G88" s="1" t="s">
        <v>22</v>
      </c>
      <c r="H88" s="39"/>
      <c r="I88" s="1" t="s">
        <v>164</v>
      </c>
      <c r="J88" s="27">
        <v>46057</v>
      </c>
      <c r="K88" s="1"/>
      <c r="L88" s="27"/>
      <c r="M88" s="1"/>
      <c r="N88" s="1"/>
      <c r="O88" s="1">
        <f>paper_sticks[[#This Row],[Цена за 1 бр. в BGN]]*paper_sticks[[#This Row],[Поръчано Количество]]</f>
        <v>0</v>
      </c>
      <c r="P88" s="1"/>
      <c r="Q88" s="1"/>
      <c r="R88" s="1" t="str" cm="1">
        <f t="array" ref="R88">_xlfn.SWITCH(S88,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Unknown</v>
      </c>
      <c r="S88" s="1" t="s">
        <v>586</v>
      </c>
    </row>
    <row r="89" spans="1:19" ht="60">
      <c r="A89" s="1" t="s">
        <v>1833</v>
      </c>
      <c r="B89" s="1">
        <v>10</v>
      </c>
      <c r="C89" s="1"/>
      <c r="D89" s="27">
        <v>46081</v>
      </c>
      <c r="E89" s="1" t="s">
        <v>1717</v>
      </c>
      <c r="F89" s="33">
        <v>46057.273935185185</v>
      </c>
      <c r="G89" s="1"/>
      <c r="H89" s="72"/>
      <c r="I89" s="1"/>
      <c r="J89" s="27"/>
      <c r="K89" s="1"/>
      <c r="L89" s="27"/>
      <c r="M89" s="1"/>
      <c r="N89" s="1"/>
      <c r="O89" s="1">
        <f>paper_sticks[[#This Row],[Цена за 1 бр. в BGN]]*paper_sticks[[#This Row],[Поръчано Количество]]</f>
        <v>0</v>
      </c>
      <c r="P89" s="1"/>
      <c r="Q89" s="1"/>
      <c r="R89" s="1" t="str" cm="1">
        <f t="array" ref="R89">_xlfn.SWITCH(S89,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89" s="1" t="s">
        <v>461</v>
      </c>
    </row>
    <row r="90" spans="1:19" ht="30">
      <c r="A90" s="1" t="s">
        <v>1834</v>
      </c>
      <c r="B90" s="1">
        <v>2</v>
      </c>
      <c r="C90" s="1"/>
      <c r="D90" s="27">
        <v>46066</v>
      </c>
      <c r="E90" s="1" t="s">
        <v>1734</v>
      </c>
      <c r="F90" s="33">
        <v>46059.309687499997</v>
      </c>
      <c r="G90" s="1"/>
      <c r="H90" s="72"/>
      <c r="I90" s="1"/>
      <c r="J90" s="27"/>
      <c r="K90" s="1"/>
      <c r="L90" s="27"/>
      <c r="M90" s="1"/>
      <c r="N90" s="1"/>
      <c r="O90" s="1">
        <f>paper_sticks[[#This Row],[Цена за 1 бр. в BGN]]*paper_sticks[[#This Row],[Поръчано Количество]]</f>
        <v>0</v>
      </c>
      <c r="P90" s="1"/>
      <c r="Q90" s="1"/>
      <c r="R90" s="1" t="str" cm="1">
        <f t="array" ref="R90">_xlfn.SWITCH(S90,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90" s="1" t="s">
        <v>461</v>
      </c>
    </row>
    <row r="91" spans="1:19" ht="30">
      <c r="A91" s="1" t="s">
        <v>1835</v>
      </c>
      <c r="B91" s="1">
        <v>2</v>
      </c>
      <c r="C91" s="1"/>
      <c r="D91" s="27">
        <v>46066</v>
      </c>
      <c r="E91" s="1" t="s">
        <v>1734</v>
      </c>
      <c r="F91" s="33">
        <v>46059.310173611113</v>
      </c>
      <c r="G91" s="1"/>
      <c r="H91" s="72"/>
      <c r="I91" s="1"/>
      <c r="J91" s="27"/>
      <c r="K91" s="1"/>
      <c r="L91" s="27"/>
      <c r="M91" s="1"/>
      <c r="N91" s="1"/>
      <c r="O91" s="1">
        <f>paper_sticks[[#This Row],[Цена за 1 бр. в BGN]]*paper_sticks[[#This Row],[Поръчано Количество]]</f>
        <v>0</v>
      </c>
      <c r="P91" s="1"/>
      <c r="Q91" s="1"/>
      <c r="R91" s="1" t="str" cm="1">
        <f t="array" ref="R91">_xlfn.SWITCH(S91,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91" s="1" t="s">
        <v>461</v>
      </c>
    </row>
    <row r="92" spans="1:19" ht="45">
      <c r="A92" s="1" t="s">
        <v>1836</v>
      </c>
      <c r="B92" s="1">
        <v>1</v>
      </c>
      <c r="C92" s="1"/>
      <c r="D92" s="27">
        <v>46080</v>
      </c>
      <c r="E92" s="1" t="s">
        <v>1734</v>
      </c>
      <c r="F92" s="33">
        <v>46059.311296296299</v>
      </c>
      <c r="G92" s="1"/>
      <c r="H92" s="72"/>
      <c r="I92" s="1"/>
      <c r="J92" s="27"/>
      <c r="K92" s="1"/>
      <c r="L92" s="27"/>
      <c r="M92" s="1"/>
      <c r="N92" s="1"/>
      <c r="O92" s="1">
        <f>paper_sticks[[#This Row],[Цена за 1 бр. в BGN]]*paper_sticks[[#This Row],[Поръчано Количество]]</f>
        <v>0</v>
      </c>
      <c r="P92" s="1"/>
      <c r="Q92" s="1"/>
      <c r="R92" s="1" t="str" cm="1">
        <f t="array" ref="R92">_xlfn.SWITCH(S92,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Salim Kuytov</v>
      </c>
      <c r="S92" s="1" t="s">
        <v>461</v>
      </c>
    </row>
    <row r="93" spans="1:19" ht="30">
      <c r="A93" s="1" t="s">
        <v>1837</v>
      </c>
      <c r="B93" s="1">
        <v>1</v>
      </c>
      <c r="C93" s="1"/>
      <c r="D93" s="27">
        <v>46066</v>
      </c>
      <c r="E93" s="1" t="s">
        <v>1717</v>
      </c>
      <c r="F93" s="33">
        <v>46065.269502314812</v>
      </c>
      <c r="G93" s="1"/>
      <c r="H93" s="72"/>
      <c r="I93" s="1"/>
      <c r="J93" s="27"/>
      <c r="K93" s="1"/>
      <c r="L93" s="27"/>
      <c r="M93" s="1"/>
      <c r="N93" s="1"/>
      <c r="O93" s="1">
        <f>paper_sticks[[#This Row],[Цена за 1 бр. в BGN]]*paper_sticks[[#This Row],[Поръчано Количество]]</f>
        <v>0</v>
      </c>
      <c r="P93" s="1"/>
      <c r="Q93" s="1"/>
      <c r="R93" s="1" t="str" cm="1">
        <f t="array" ref="R93">_xlfn.SWITCH(S93,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93" s="1" t="s">
        <v>1040</v>
      </c>
    </row>
    <row r="94" spans="1:19" ht="30">
      <c r="A94" s="1" t="s">
        <v>1838</v>
      </c>
      <c r="B94" s="1">
        <v>100</v>
      </c>
      <c r="C94" s="1"/>
      <c r="D94" s="27">
        <v>46070</v>
      </c>
      <c r="E94" s="1" t="s">
        <v>1717</v>
      </c>
      <c r="F94" s="33">
        <v>46065.269988425927</v>
      </c>
      <c r="G94" s="1"/>
      <c r="H94" s="72"/>
      <c r="I94" s="1"/>
      <c r="J94" s="27"/>
      <c r="K94" s="1"/>
      <c r="L94" s="27"/>
      <c r="M94" s="1"/>
      <c r="N94" s="1"/>
      <c r="O94" s="1">
        <f>paper_sticks[[#This Row],[Цена за 1 бр. в BGN]]*paper_sticks[[#This Row],[Поръчано Количество]]</f>
        <v>0</v>
      </c>
      <c r="P94" s="1"/>
      <c r="Q94" s="1"/>
      <c r="R94" s="1" t="str" cm="1">
        <f t="array" ref="R94">_xlfn.SWITCH(S94,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94" s="1" t="s">
        <v>1040</v>
      </c>
    </row>
    <row r="95" spans="1:19" ht="30">
      <c r="A95" s="1" t="s">
        <v>1839</v>
      </c>
      <c r="B95" s="1">
        <v>2</v>
      </c>
      <c r="C95" s="1">
        <v>2</v>
      </c>
      <c r="D95" s="27">
        <v>46072</v>
      </c>
      <c r="E95" s="1" t="s">
        <v>1717</v>
      </c>
      <c r="F95" s="33">
        <v>46065.270902777775</v>
      </c>
      <c r="G95" s="1" t="s">
        <v>235</v>
      </c>
      <c r="H95" s="72" t="s">
        <v>1828</v>
      </c>
      <c r="I95" s="1" t="s">
        <v>1926</v>
      </c>
      <c r="J95" s="27"/>
      <c r="K95" s="1"/>
      <c r="L95" s="27"/>
      <c r="M95" s="1"/>
      <c r="N95" s="1">
        <f>211.48*1.95583</f>
        <v>413.61892839999996</v>
      </c>
      <c r="O95" s="1">
        <f>paper_sticks[[#This Row],[Цена за 1 бр. в BGN]]*paper_sticks[[#This Row],[Поръчано Количество]]</f>
        <v>827.23785679999992</v>
      </c>
      <c r="P95" s="1"/>
      <c r="Q95" s="1"/>
      <c r="R95" s="1" t="str" cm="1">
        <f t="array" ref="R95">_xlfn.SWITCH(S95,
    "ivelikov@septona-bg.com", "Ivan Velikov",
    "andy@skuytov.eu", "Andrean Angelov",
    "ialeksandrov@septona-bg.com", "Ivailo Aleksandrov",
    "bgeorgiev@septona-bg.com", "Boris Georgiev",
    "iilev@septona-bg.com", "Ivailo Iliev",
    "dmitev@septona-bg.com", "Dimitar Mitev",
    "gkanchev@septona-bgc.com", "Georgi Kanchev",
    "s.kuytov@skuytov.eu", "Salim Kuytov",
    "istoyanova@septona-bg.com", "Ivelina Stoyanova",
    "ddimitrova@septona-bg.com", "Doroteya Dimitrova",
    "smehandzhieva@septona-bg.com", "Stiliana Mehandzhieva",
    "Unknown"
)</f>
        <v>Dimitar Mitev</v>
      </c>
      <c r="S95" s="1" t="s">
        <v>1040</v>
      </c>
    </row>
    <row r="96" spans="1:19">
      <c r="D96" s="28"/>
      <c r="F96" s="30"/>
      <c r="J96" s="28"/>
      <c r="L96" s="28"/>
    </row>
    <row r="97" spans="4:12">
      <c r="D97" s="28"/>
      <c r="F97" s="30"/>
      <c r="J97" s="28"/>
      <c r="L97" s="28"/>
    </row>
    <row r="98" spans="4:12">
      <c r="D98" s="28"/>
      <c r="F98" s="30"/>
      <c r="J98" s="28"/>
      <c r="L98" s="28"/>
    </row>
    <row r="99" spans="4:12">
      <c r="D99" s="28"/>
      <c r="F99" s="30"/>
      <c r="J99" s="28"/>
      <c r="L99" s="28"/>
    </row>
    <row r="100" spans="4:12">
      <c r="D100" s="28"/>
      <c r="F100" s="30"/>
      <c r="J100" s="28"/>
      <c r="L100" s="28"/>
    </row>
    <row r="101" spans="4:12">
      <c r="D101" s="28"/>
      <c r="F101" s="30"/>
      <c r="J101" s="28"/>
      <c r="L101" s="28"/>
    </row>
    <row r="102" spans="4:12">
      <c r="D102" s="28"/>
      <c r="F102" s="30"/>
      <c r="J102" s="28"/>
      <c r="L102" s="28"/>
    </row>
    <row r="103" spans="4:12">
      <c r="D103" s="28"/>
      <c r="F103" s="30"/>
      <c r="J103" s="28"/>
      <c r="L103" s="28"/>
    </row>
    <row r="104" spans="4:12">
      <c r="D104" s="28"/>
      <c r="F104" s="30"/>
      <c r="J104" s="28"/>
      <c r="L104" s="28"/>
    </row>
    <row r="105" spans="4:12">
      <c r="D105" s="28"/>
      <c r="F105" s="30"/>
      <c r="J105" s="28"/>
      <c r="L105" s="28"/>
    </row>
    <row r="106" spans="4:12">
      <c r="D106" s="28"/>
      <c r="F106" s="30"/>
      <c r="J106" s="28"/>
      <c r="L106" s="28"/>
    </row>
    <row r="107" spans="4:12">
      <c r="D107" s="28"/>
      <c r="F107" s="30"/>
      <c r="J107" s="28"/>
      <c r="L107" s="28"/>
    </row>
    <row r="108" spans="4:12">
      <c r="D108" s="28"/>
      <c r="F108" s="30"/>
      <c r="J108" s="28"/>
      <c r="L108" s="28"/>
    </row>
    <row r="109" spans="4:12">
      <c r="D109" s="28"/>
      <c r="F109" s="30"/>
      <c r="J109" s="28"/>
      <c r="L109" s="28"/>
    </row>
    <row r="110" spans="4:12">
      <c r="D110" s="28"/>
      <c r="F110" s="30"/>
      <c r="J110" s="28"/>
      <c r="L110" s="28"/>
    </row>
    <row r="111" spans="4:12">
      <c r="D111" s="28"/>
      <c r="F111" s="30"/>
      <c r="J111" s="28"/>
      <c r="L111" s="28"/>
    </row>
    <row r="112" spans="4:12">
      <c r="D112" s="28"/>
      <c r="F112" s="30"/>
      <c r="J112" s="28"/>
      <c r="L112" s="28"/>
    </row>
    <row r="113" spans="4:12">
      <c r="D113" s="28"/>
      <c r="F113" s="30"/>
      <c r="J113" s="28"/>
      <c r="L113" s="28"/>
    </row>
    <row r="114" spans="4:12">
      <c r="D114" s="28"/>
      <c r="F114" s="30"/>
      <c r="J114" s="28"/>
      <c r="L114" s="28"/>
    </row>
    <row r="115" spans="4:12">
      <c r="D115" s="28"/>
      <c r="F115" s="30"/>
      <c r="J115" s="28"/>
      <c r="L115" s="28"/>
    </row>
    <row r="116" spans="4:12">
      <c r="D116" s="28"/>
      <c r="F116" s="30"/>
      <c r="J116" s="28"/>
      <c r="L116" s="28"/>
    </row>
    <row r="117" spans="4:12">
      <c r="D117" s="28"/>
      <c r="F117" s="30"/>
      <c r="J117" s="28"/>
      <c r="L117" s="28"/>
    </row>
    <row r="118" spans="4:12">
      <c r="D118" s="28"/>
      <c r="F118" s="30"/>
      <c r="J118" s="28"/>
      <c r="L118" s="28"/>
    </row>
    <row r="119" spans="4:12">
      <c r="D119" s="28"/>
      <c r="F119" s="30"/>
      <c r="J119" s="28"/>
      <c r="L119" s="28"/>
    </row>
    <row r="120" spans="4:12">
      <c r="D120" s="28"/>
      <c r="F120" s="30"/>
      <c r="J120" s="28"/>
      <c r="L120" s="28"/>
    </row>
    <row r="121" spans="4:12">
      <c r="D121" s="28"/>
      <c r="F121" s="30"/>
      <c r="J121" s="28"/>
      <c r="L121" s="28"/>
    </row>
    <row r="122" spans="4:12">
      <c r="D122" s="28"/>
      <c r="F122" s="30"/>
      <c r="J122" s="28"/>
      <c r="L122" s="28"/>
    </row>
    <row r="123" spans="4:12">
      <c r="D123" s="28"/>
      <c r="F123" s="30"/>
      <c r="J123" s="28"/>
      <c r="L123" s="28"/>
    </row>
    <row r="124" spans="4:12">
      <c r="D124" s="28"/>
      <c r="F124" s="30"/>
      <c r="J124" s="28"/>
      <c r="L124" s="28"/>
    </row>
    <row r="125" spans="4:12">
      <c r="D125" s="28"/>
      <c r="F125" s="30"/>
      <c r="J125" s="28"/>
      <c r="L125" s="28"/>
    </row>
    <row r="126" spans="4:12">
      <c r="D126" s="28"/>
      <c r="F126" s="30"/>
      <c r="J126" s="28"/>
      <c r="L126" s="28"/>
    </row>
    <row r="127" spans="4:12">
      <c r="D127" s="28"/>
      <c r="F127" s="30"/>
      <c r="J127" s="28"/>
      <c r="L127" s="28"/>
    </row>
    <row r="128" spans="4:12">
      <c r="D128" s="28"/>
      <c r="F128" s="30"/>
      <c r="J128" s="28"/>
      <c r="L128" s="28"/>
    </row>
    <row r="129" spans="4:12">
      <c r="D129" s="28"/>
      <c r="F129" s="30"/>
      <c r="J129" s="28"/>
      <c r="L129" s="28"/>
    </row>
    <row r="130" spans="4:12">
      <c r="D130" s="28"/>
      <c r="F130" s="30"/>
      <c r="J130" s="28"/>
      <c r="L130" s="28"/>
    </row>
    <row r="131" spans="4:12">
      <c r="D131" s="28"/>
      <c r="F131" s="30"/>
      <c r="J131" s="28"/>
      <c r="L131" s="28"/>
    </row>
    <row r="132" spans="4:12">
      <c r="D132" s="28"/>
      <c r="F132" s="30"/>
      <c r="J132" s="28"/>
      <c r="L132" s="28"/>
    </row>
    <row r="133" spans="4:12">
      <c r="D133" s="28"/>
      <c r="F133" s="30"/>
      <c r="J133" s="28"/>
      <c r="L133" s="28"/>
    </row>
    <row r="134" spans="4:12">
      <c r="D134" s="28"/>
      <c r="F134" s="30"/>
      <c r="J134" s="28"/>
      <c r="L134" s="28"/>
    </row>
    <row r="135" spans="4:12">
      <c r="D135" s="28"/>
      <c r="F135" s="30"/>
      <c r="J135" s="28"/>
      <c r="L135" s="28"/>
    </row>
    <row r="136" spans="4:12">
      <c r="D136" s="28"/>
      <c r="F136" s="30"/>
      <c r="J136" s="28"/>
      <c r="L136" s="28"/>
    </row>
    <row r="137" spans="4:12">
      <c r="D137" s="28"/>
      <c r="F137" s="30"/>
      <c r="J137" s="28"/>
      <c r="L137" s="28"/>
    </row>
    <row r="138" spans="4:12">
      <c r="D138" s="28"/>
      <c r="F138" s="30"/>
      <c r="J138" s="28"/>
      <c r="L138" s="28"/>
    </row>
    <row r="139" spans="4:12">
      <c r="D139" s="28"/>
      <c r="F139" s="30"/>
      <c r="J139" s="28"/>
      <c r="L139" s="28"/>
    </row>
    <row r="140" spans="4:12">
      <c r="D140" s="28"/>
      <c r="F140" s="30"/>
      <c r="J140" s="28"/>
      <c r="L140" s="28"/>
    </row>
    <row r="141" spans="4:12">
      <c r="D141" s="28"/>
      <c r="F141" s="30"/>
      <c r="J141" s="28"/>
      <c r="L141" s="28"/>
    </row>
    <row r="142" spans="4:12">
      <c r="D142" s="28"/>
      <c r="F142" s="30"/>
      <c r="J142" s="28"/>
      <c r="L142" s="28"/>
    </row>
    <row r="143" spans="4:12">
      <c r="D143" s="28"/>
      <c r="F143" s="30"/>
      <c r="J143" s="28"/>
      <c r="L143" s="28"/>
    </row>
    <row r="144" spans="4:12">
      <c r="D144" s="28"/>
      <c r="F144" s="30"/>
      <c r="J144" s="28"/>
      <c r="L144" s="28"/>
    </row>
    <row r="145" spans="4:12">
      <c r="D145" s="28"/>
      <c r="F145" s="30"/>
      <c r="J145" s="28"/>
      <c r="L145" s="28"/>
    </row>
    <row r="146" spans="4:12">
      <c r="D146" s="28"/>
      <c r="F146" s="30"/>
      <c r="J146" s="28"/>
      <c r="L146" s="28"/>
    </row>
    <row r="147" spans="4:12">
      <c r="D147" s="28"/>
      <c r="F147" s="30"/>
      <c r="J147" s="28"/>
      <c r="L147" s="28"/>
    </row>
    <row r="148" spans="4:12">
      <c r="D148" s="28"/>
      <c r="F148" s="30"/>
      <c r="J148" s="28"/>
      <c r="L148" s="28"/>
    </row>
    <row r="149" spans="4:12">
      <c r="D149" s="28"/>
      <c r="F149" s="30"/>
      <c r="J149" s="28"/>
      <c r="L149" s="28"/>
    </row>
    <row r="150" spans="4:12">
      <c r="D150" s="28"/>
      <c r="F150" s="30"/>
      <c r="J150" s="28"/>
      <c r="L150" s="28"/>
    </row>
    <row r="151" spans="4:12">
      <c r="D151" s="28"/>
      <c r="F151" s="30"/>
      <c r="J151" s="28"/>
      <c r="L151" s="28"/>
    </row>
    <row r="152" spans="4:12">
      <c r="D152" s="28"/>
      <c r="F152" s="30"/>
      <c r="J152" s="28"/>
      <c r="L152" s="28"/>
    </row>
    <row r="153" spans="4:12">
      <c r="D153" s="28"/>
      <c r="F153" s="30"/>
      <c r="J153" s="28"/>
      <c r="L153" s="28"/>
    </row>
    <row r="154" spans="4:12">
      <c r="D154" s="28"/>
      <c r="F154" s="30"/>
      <c r="J154" s="28"/>
      <c r="L154" s="28"/>
    </row>
    <row r="155" spans="4:12">
      <c r="D155" s="28"/>
      <c r="F155" s="30"/>
      <c r="J155" s="28"/>
      <c r="L155" s="28"/>
    </row>
    <row r="156" spans="4:12">
      <c r="D156" s="28"/>
      <c r="F156" s="30"/>
      <c r="J156" s="28"/>
      <c r="L156" s="28"/>
    </row>
    <row r="157" spans="4:12">
      <c r="D157" s="28"/>
      <c r="F157" s="30"/>
      <c r="J157" s="28"/>
      <c r="L157" s="28"/>
    </row>
    <row r="158" spans="4:12">
      <c r="D158" s="28"/>
      <c r="F158" s="30"/>
      <c r="J158" s="28"/>
      <c r="L158" s="28"/>
    </row>
    <row r="159" spans="4:12">
      <c r="D159" s="28"/>
      <c r="F159" s="30"/>
      <c r="J159" s="28"/>
      <c r="L159" s="28"/>
    </row>
    <row r="160" spans="4:12">
      <c r="D160" s="28"/>
      <c r="F160" s="30"/>
      <c r="J160" s="28"/>
      <c r="L160" s="28"/>
    </row>
    <row r="161" spans="4:12">
      <c r="D161" s="28"/>
      <c r="F161" s="30"/>
      <c r="J161" s="28"/>
      <c r="L161" s="28"/>
    </row>
    <row r="162" spans="4:12">
      <c r="D162" s="28"/>
      <c r="F162" s="30"/>
      <c r="J162" s="28"/>
      <c r="L162" s="28"/>
    </row>
    <row r="163" spans="4:12">
      <c r="D163" s="28"/>
      <c r="F163" s="30"/>
      <c r="J163" s="28"/>
      <c r="L163" s="28"/>
    </row>
    <row r="164" spans="4:12">
      <c r="D164" s="28"/>
      <c r="F164" s="30"/>
      <c r="J164" s="28"/>
      <c r="L164" s="28"/>
    </row>
    <row r="165" spans="4:12">
      <c r="D165" s="28"/>
      <c r="F165" s="30"/>
      <c r="J165" s="28"/>
      <c r="L165" s="28"/>
    </row>
    <row r="166" spans="4:12">
      <c r="D166" s="28"/>
      <c r="F166" s="30"/>
      <c r="J166" s="28"/>
      <c r="L166" s="28"/>
    </row>
    <row r="167" spans="4:12">
      <c r="D167" s="28"/>
      <c r="F167" s="30"/>
      <c r="J167" s="28"/>
      <c r="L167" s="28"/>
    </row>
    <row r="168" spans="4:12">
      <c r="D168" s="28"/>
      <c r="F168" s="30"/>
      <c r="J168" s="28"/>
      <c r="L168" s="28"/>
    </row>
    <row r="169" spans="4:12">
      <c r="D169" s="28"/>
      <c r="F169" s="30"/>
      <c r="J169" s="28"/>
      <c r="L169" s="28"/>
    </row>
    <row r="170" spans="4:12">
      <c r="D170" s="28"/>
      <c r="F170" s="30"/>
      <c r="J170" s="28"/>
      <c r="L170" s="28"/>
    </row>
    <row r="171" spans="4:12">
      <c r="D171" s="28"/>
      <c r="F171" s="30"/>
      <c r="J171" s="28"/>
      <c r="L171" s="28"/>
    </row>
    <row r="172" spans="4:12">
      <c r="D172" s="28"/>
      <c r="F172" s="30"/>
      <c r="J172" s="28"/>
      <c r="L172" s="28"/>
    </row>
    <row r="173" spans="4:12">
      <c r="D173" s="28"/>
      <c r="F173" s="30"/>
      <c r="J173" s="28"/>
      <c r="L173" s="28"/>
    </row>
    <row r="174" spans="4:12">
      <c r="D174" s="28"/>
      <c r="F174" s="30"/>
      <c r="J174" s="28"/>
      <c r="L174" s="28"/>
    </row>
    <row r="175" spans="4:12">
      <c r="D175" s="28"/>
      <c r="F175" s="30"/>
      <c r="J175" s="28"/>
      <c r="L175" s="28"/>
    </row>
    <row r="176" spans="4:12">
      <c r="D176" s="28"/>
      <c r="F176" s="30"/>
      <c r="J176" s="28"/>
      <c r="L176" s="28"/>
    </row>
    <row r="177" spans="4:12">
      <c r="D177" s="28"/>
      <c r="F177" s="30"/>
      <c r="J177" s="28"/>
      <c r="L177" s="28"/>
    </row>
    <row r="178" spans="4:12">
      <c r="D178" s="28"/>
      <c r="F178" s="30"/>
      <c r="J178" s="28"/>
      <c r="L178" s="28"/>
    </row>
    <row r="179" spans="4:12">
      <c r="D179" s="28"/>
      <c r="F179" s="30"/>
      <c r="J179" s="28"/>
      <c r="L179" s="28"/>
    </row>
    <row r="180" spans="4:12">
      <c r="D180" s="28"/>
      <c r="F180" s="30"/>
      <c r="J180" s="28"/>
      <c r="L180" s="28"/>
    </row>
    <row r="181" spans="4:12">
      <c r="D181" s="28"/>
      <c r="F181" s="30"/>
      <c r="J181" s="28"/>
      <c r="L181" s="28"/>
    </row>
    <row r="182" spans="4:12">
      <c r="D182" s="28"/>
      <c r="F182" s="30"/>
      <c r="J182" s="28"/>
      <c r="L182" s="28"/>
    </row>
    <row r="183" spans="4:12">
      <c r="D183" s="28"/>
      <c r="F183" s="30"/>
      <c r="J183" s="28"/>
      <c r="L183" s="28"/>
    </row>
    <row r="184" spans="4:12">
      <c r="D184" s="28"/>
      <c r="F184" s="30"/>
      <c r="J184" s="28"/>
      <c r="L184" s="28"/>
    </row>
    <row r="185" spans="4:12">
      <c r="D185" s="28"/>
      <c r="F185" s="30"/>
      <c r="J185" s="28"/>
      <c r="L185" s="28"/>
    </row>
    <row r="186" spans="4:12">
      <c r="D186" s="28"/>
      <c r="F186" s="30"/>
      <c r="J186" s="28"/>
      <c r="L186" s="28"/>
    </row>
    <row r="187" spans="4:12">
      <c r="D187" s="28"/>
      <c r="F187" s="30"/>
      <c r="J187" s="28"/>
      <c r="L187" s="28"/>
    </row>
    <row r="188" spans="4:12">
      <c r="D188" s="28"/>
      <c r="F188" s="30"/>
      <c r="J188" s="28"/>
      <c r="L188" s="28"/>
    </row>
    <row r="189" spans="4:12">
      <c r="D189" s="28"/>
      <c r="F189" s="30"/>
      <c r="J189" s="28"/>
      <c r="L189" s="28"/>
    </row>
    <row r="190" spans="4:12">
      <c r="D190" s="28"/>
      <c r="F190" s="30"/>
      <c r="J190" s="28"/>
      <c r="L190" s="28"/>
    </row>
    <row r="191" spans="4:12">
      <c r="D191" s="28"/>
      <c r="F191" s="30"/>
      <c r="J191" s="28"/>
      <c r="L191" s="28"/>
    </row>
    <row r="192" spans="4:12">
      <c r="D192" s="28"/>
      <c r="F192" s="30"/>
      <c r="J192" s="28"/>
      <c r="L192" s="28"/>
    </row>
    <row r="193" spans="4:12">
      <c r="D193" s="28"/>
      <c r="F193" s="30"/>
      <c r="J193" s="28"/>
      <c r="L193" s="28"/>
    </row>
    <row r="194" spans="4:12">
      <c r="D194" s="28"/>
      <c r="F194" s="30"/>
      <c r="J194" s="28"/>
      <c r="L194" s="28"/>
    </row>
    <row r="195" spans="4:12">
      <c r="D195" s="28"/>
      <c r="F195" s="30"/>
      <c r="J195" s="28"/>
      <c r="L195" s="28"/>
    </row>
    <row r="196" spans="4:12">
      <c r="D196" s="28"/>
      <c r="F196" s="30"/>
      <c r="J196" s="28"/>
      <c r="L196" s="28"/>
    </row>
    <row r="197" spans="4:12">
      <c r="D197" s="28"/>
      <c r="F197" s="30"/>
      <c r="J197" s="28"/>
      <c r="L197" s="28"/>
    </row>
    <row r="198" spans="4:12">
      <c r="D198" s="28"/>
      <c r="F198" s="30"/>
      <c r="J198" s="28"/>
      <c r="L198" s="28"/>
    </row>
    <row r="199" spans="4:12">
      <c r="D199" s="28"/>
      <c r="F199" s="30"/>
      <c r="J199" s="28"/>
      <c r="L199" s="28"/>
    </row>
    <row r="200" spans="4:12">
      <c r="D200" s="28"/>
      <c r="F200" s="30"/>
      <c r="J200" s="28"/>
      <c r="L200" s="28"/>
    </row>
    <row r="201" spans="4:12">
      <c r="D201" s="28"/>
      <c r="F201" s="30"/>
      <c r="J201" s="28"/>
      <c r="L201" s="28"/>
    </row>
    <row r="202" spans="4:12">
      <c r="D202" s="28"/>
      <c r="F202" s="30"/>
      <c r="J202" s="28"/>
      <c r="L202" s="28"/>
    </row>
    <row r="203" spans="4:12">
      <c r="D203" s="28"/>
      <c r="F203" s="30"/>
      <c r="J203" s="28"/>
      <c r="L203" s="28"/>
    </row>
    <row r="204" spans="4:12">
      <c r="D204" s="28"/>
      <c r="F204" s="30"/>
      <c r="J204" s="28"/>
      <c r="L204" s="28"/>
    </row>
    <row r="205" spans="4:12">
      <c r="D205" s="28"/>
      <c r="F205" s="30"/>
      <c r="J205" s="28"/>
      <c r="L205" s="28"/>
    </row>
    <row r="206" spans="4:12">
      <c r="D206" s="28"/>
      <c r="F206" s="30"/>
      <c r="J206" s="28"/>
      <c r="L206" s="28"/>
    </row>
    <row r="207" spans="4:12">
      <c r="D207" s="28"/>
      <c r="F207" s="30"/>
      <c r="J207" s="28"/>
      <c r="L207" s="28"/>
    </row>
    <row r="208" spans="4:12">
      <c r="D208" s="28"/>
      <c r="F208" s="30"/>
      <c r="J208" s="28"/>
      <c r="L208" s="28"/>
    </row>
    <row r="209" spans="4:12">
      <c r="D209" s="28"/>
      <c r="F209" s="30"/>
      <c r="J209" s="28"/>
      <c r="L209" s="28"/>
    </row>
    <row r="210" spans="4:12">
      <c r="D210" s="28"/>
      <c r="F210" s="30"/>
      <c r="J210" s="28"/>
      <c r="L210" s="28"/>
    </row>
    <row r="211" spans="4:12">
      <c r="D211" s="28"/>
      <c r="F211" s="30"/>
      <c r="J211" s="28"/>
      <c r="L211" s="28"/>
    </row>
    <row r="212" spans="4:12">
      <c r="D212" s="28"/>
      <c r="F212" s="30"/>
      <c r="J212" s="28"/>
      <c r="L212" s="28"/>
    </row>
    <row r="213" spans="4:12">
      <c r="D213" s="28"/>
      <c r="F213" s="30"/>
      <c r="J213" s="28"/>
      <c r="L213" s="28"/>
    </row>
    <row r="214" spans="4:12">
      <c r="D214" s="28"/>
      <c r="F214" s="30"/>
      <c r="J214" s="28"/>
      <c r="L214" s="28"/>
    </row>
    <row r="215" spans="4:12">
      <c r="D215" s="28"/>
      <c r="F215" s="30"/>
      <c r="J215" s="28"/>
      <c r="L215" s="28"/>
    </row>
    <row r="216" spans="4:12">
      <c r="D216" s="28"/>
      <c r="F216" s="30"/>
      <c r="J216" s="28"/>
      <c r="L216" s="28"/>
    </row>
    <row r="217" spans="4:12">
      <c r="D217" s="28"/>
      <c r="F217" s="30"/>
      <c r="J217" s="28"/>
      <c r="L217" s="28"/>
    </row>
    <row r="218" spans="4:12">
      <c r="D218" s="28"/>
      <c r="F218" s="30"/>
      <c r="J218" s="28"/>
      <c r="L218" s="28"/>
    </row>
    <row r="219" spans="4:12">
      <c r="D219" s="28"/>
      <c r="F219" s="30"/>
      <c r="J219" s="28"/>
      <c r="L219" s="28"/>
    </row>
    <row r="220" spans="4:12">
      <c r="D220" s="28"/>
      <c r="F220" s="30"/>
      <c r="J220" s="28"/>
      <c r="L220" s="28"/>
    </row>
    <row r="221" spans="4:12">
      <c r="D221" s="28"/>
      <c r="F221" s="30"/>
      <c r="J221" s="28"/>
      <c r="L221" s="28"/>
    </row>
    <row r="222" spans="4:12">
      <c r="D222" s="28"/>
      <c r="F222" s="30"/>
      <c r="J222" s="28"/>
      <c r="L222" s="28"/>
    </row>
    <row r="223" spans="4:12">
      <c r="D223" s="28"/>
      <c r="F223" s="30"/>
      <c r="J223" s="28"/>
      <c r="L223" s="28"/>
    </row>
    <row r="224" spans="4:12">
      <c r="D224" s="28"/>
      <c r="F224" s="30"/>
      <c r="J224" s="28"/>
      <c r="L224" s="28"/>
    </row>
    <row r="225" spans="4:12">
      <c r="D225" s="28"/>
      <c r="F225" s="30"/>
      <c r="J225" s="28"/>
      <c r="L225" s="28"/>
    </row>
    <row r="226" spans="4:12">
      <c r="D226" s="28"/>
      <c r="F226" s="30"/>
      <c r="J226" s="28"/>
      <c r="L226" s="28"/>
    </row>
    <row r="227" spans="4:12">
      <c r="D227" s="28"/>
      <c r="F227" s="30"/>
      <c r="J227" s="28"/>
      <c r="L227" s="28"/>
    </row>
    <row r="228" spans="4:12">
      <c r="D228" s="28"/>
      <c r="F228" s="30"/>
      <c r="J228" s="28"/>
      <c r="L228" s="28"/>
    </row>
    <row r="229" spans="4:12">
      <c r="D229" s="28"/>
      <c r="F229" s="30"/>
      <c r="J229" s="28"/>
      <c r="L229" s="28"/>
    </row>
    <row r="230" spans="4:12">
      <c r="D230" s="28"/>
      <c r="F230" s="30"/>
      <c r="J230" s="28"/>
      <c r="L230" s="28"/>
    </row>
    <row r="231" spans="4:12">
      <c r="D231" s="28"/>
      <c r="F231" s="30"/>
      <c r="J231" s="28"/>
      <c r="L231" s="28"/>
    </row>
    <row r="232" spans="4:12">
      <c r="D232" s="28"/>
      <c r="F232" s="30"/>
      <c r="J232" s="28"/>
      <c r="L232" s="28"/>
    </row>
    <row r="233" spans="4:12">
      <c r="D233" s="28"/>
      <c r="F233" s="30"/>
      <c r="J233" s="28"/>
      <c r="L233" s="28"/>
    </row>
    <row r="234" spans="4:12">
      <c r="D234" s="28"/>
      <c r="F234" s="30"/>
      <c r="J234" s="28"/>
      <c r="L234" s="28"/>
    </row>
    <row r="235" spans="4:12">
      <c r="D235" s="28"/>
      <c r="F235" s="30"/>
      <c r="J235" s="28"/>
      <c r="L235" s="28"/>
    </row>
    <row r="236" spans="4:12">
      <c r="D236" s="28"/>
      <c r="F236" s="30"/>
      <c r="J236" s="28"/>
      <c r="L236" s="28"/>
    </row>
    <row r="237" spans="4:12">
      <c r="D237" s="28"/>
      <c r="F237" s="30"/>
      <c r="J237" s="28"/>
      <c r="L237" s="28"/>
    </row>
    <row r="238" spans="4:12">
      <c r="D238" s="28"/>
      <c r="F238" s="30"/>
      <c r="J238" s="28"/>
      <c r="L238" s="28"/>
    </row>
    <row r="239" spans="4:12">
      <c r="D239" s="28"/>
      <c r="F239" s="30"/>
      <c r="J239" s="28"/>
      <c r="L239" s="28"/>
    </row>
    <row r="240" spans="4:12">
      <c r="D240" s="28"/>
      <c r="F240" s="30"/>
      <c r="J240" s="28"/>
      <c r="L240" s="28"/>
    </row>
    <row r="241" spans="4:12">
      <c r="D241" s="28"/>
      <c r="F241" s="30"/>
      <c r="J241" s="28"/>
      <c r="L241" s="28"/>
    </row>
    <row r="242" spans="4:12">
      <c r="D242" s="28"/>
      <c r="F242" s="30"/>
      <c r="J242" s="28"/>
      <c r="L242" s="28"/>
    </row>
    <row r="243" spans="4:12">
      <c r="D243" s="28"/>
      <c r="F243" s="30"/>
      <c r="J243" s="28"/>
      <c r="L243" s="28"/>
    </row>
    <row r="244" spans="4:12">
      <c r="D244" s="28"/>
      <c r="F244" s="30"/>
      <c r="J244" s="28"/>
      <c r="L244" s="28"/>
    </row>
    <row r="245" spans="4:12">
      <c r="D245" s="28"/>
      <c r="F245" s="30"/>
      <c r="J245" s="28"/>
      <c r="L245" s="28"/>
    </row>
    <row r="246" spans="4:12">
      <c r="D246" s="28"/>
      <c r="F246" s="30"/>
      <c r="J246" s="28"/>
      <c r="L246" s="28"/>
    </row>
    <row r="247" spans="4:12">
      <c r="D247" s="28"/>
      <c r="F247" s="30"/>
      <c r="J247" s="28"/>
      <c r="L247" s="28"/>
    </row>
    <row r="248" spans="4:12">
      <c r="D248" s="28"/>
      <c r="F248" s="30"/>
      <c r="J248" s="28"/>
      <c r="L248" s="28"/>
    </row>
    <row r="249" spans="4:12">
      <c r="D249" s="28"/>
      <c r="F249" s="30"/>
      <c r="J249" s="28"/>
      <c r="L249" s="28"/>
    </row>
    <row r="250" spans="4:12">
      <c r="D250" s="28"/>
      <c r="F250" s="30"/>
      <c r="J250" s="28"/>
      <c r="L250" s="28"/>
    </row>
    <row r="251" spans="4:12">
      <c r="D251" s="28"/>
      <c r="F251" s="30"/>
      <c r="J251" s="28"/>
      <c r="L251" s="28"/>
    </row>
    <row r="252" spans="4:12">
      <c r="D252" s="28"/>
      <c r="F252" s="30"/>
      <c r="J252" s="28"/>
      <c r="L252" s="28"/>
    </row>
    <row r="253" spans="4:12">
      <c r="D253" s="28"/>
      <c r="F253" s="30"/>
      <c r="J253" s="28"/>
      <c r="L253" s="28"/>
    </row>
    <row r="254" spans="4:12">
      <c r="D254" s="28"/>
      <c r="F254" s="30"/>
      <c r="J254" s="28"/>
      <c r="L254" s="28"/>
    </row>
    <row r="255" spans="4:12">
      <c r="D255" s="28"/>
      <c r="F255" s="30"/>
      <c r="J255" s="28"/>
      <c r="L255" s="28"/>
    </row>
    <row r="256" spans="4:12">
      <c r="D256" s="28"/>
      <c r="F256" s="30"/>
      <c r="J256" s="28"/>
      <c r="L256" s="28"/>
    </row>
    <row r="257" spans="4:12">
      <c r="D257" s="28"/>
      <c r="F257" s="30"/>
      <c r="J257" s="28"/>
      <c r="L257" s="28"/>
    </row>
    <row r="258" spans="4:12">
      <c r="D258" s="28"/>
      <c r="F258" s="30"/>
      <c r="J258" s="28"/>
      <c r="L258" s="28"/>
    </row>
    <row r="259" spans="4:12">
      <c r="D259" s="28"/>
      <c r="F259" s="30"/>
      <c r="J259" s="28"/>
      <c r="L259" s="28"/>
    </row>
    <row r="260" spans="4:12">
      <c r="D260" s="28"/>
      <c r="F260" s="30"/>
      <c r="J260" s="28"/>
      <c r="L260" s="28"/>
    </row>
    <row r="261" spans="4:12">
      <c r="D261" s="28"/>
      <c r="F261" s="30"/>
      <c r="J261" s="28"/>
      <c r="L261" s="28"/>
    </row>
    <row r="262" spans="4:12">
      <c r="D262" s="28"/>
      <c r="F262" s="30"/>
      <c r="J262" s="28"/>
      <c r="L262" s="28"/>
    </row>
    <row r="263" spans="4:12">
      <c r="D263" s="28"/>
      <c r="F263" s="30"/>
      <c r="J263" s="28"/>
      <c r="L263" s="28"/>
    </row>
    <row r="264" spans="4:12">
      <c r="D264" s="28"/>
      <c r="F264" s="30"/>
      <c r="J264" s="28"/>
      <c r="L264" s="28"/>
    </row>
    <row r="265" spans="4:12">
      <c r="D265" s="28"/>
      <c r="F265" s="30"/>
      <c r="J265" s="28"/>
      <c r="L265" s="28"/>
    </row>
    <row r="266" spans="4:12">
      <c r="D266" s="28"/>
      <c r="F266" s="30"/>
      <c r="J266" s="28"/>
      <c r="L266" s="28"/>
    </row>
    <row r="267" spans="4:12">
      <c r="D267" s="28"/>
      <c r="F267" s="30"/>
      <c r="J267" s="28"/>
      <c r="L267" s="28"/>
    </row>
    <row r="268" spans="4:12">
      <c r="D268" s="28"/>
      <c r="F268" s="30"/>
      <c r="J268" s="28"/>
      <c r="L268" s="28"/>
    </row>
    <row r="269" spans="4:12">
      <c r="D269" s="28"/>
      <c r="F269" s="30"/>
      <c r="J269" s="28"/>
      <c r="L269" s="28"/>
    </row>
    <row r="270" spans="4:12">
      <c r="D270" s="28"/>
      <c r="F270" s="30"/>
      <c r="J270" s="28"/>
      <c r="L270" s="28"/>
    </row>
    <row r="271" spans="4:12">
      <c r="D271" s="28"/>
      <c r="F271" s="30"/>
      <c r="J271" s="28"/>
      <c r="L271" s="28"/>
    </row>
    <row r="272" spans="4:12">
      <c r="D272" s="28"/>
      <c r="F272" s="30"/>
      <c r="J272" s="28"/>
      <c r="L272" s="28"/>
    </row>
    <row r="273" spans="4:12">
      <c r="D273" s="28"/>
      <c r="F273" s="30"/>
      <c r="J273" s="28"/>
      <c r="L273" s="28"/>
    </row>
    <row r="274" spans="4:12">
      <c r="D274" s="28"/>
      <c r="F274" s="30"/>
      <c r="J274" s="28"/>
      <c r="L274" s="28"/>
    </row>
    <row r="275" spans="4:12">
      <c r="D275" s="28"/>
      <c r="F275" s="30"/>
      <c r="J275" s="28"/>
      <c r="L275" s="28"/>
    </row>
    <row r="276" spans="4:12">
      <c r="D276" s="28"/>
      <c r="F276" s="30"/>
      <c r="J276" s="28"/>
      <c r="L276" s="28"/>
    </row>
    <row r="277" spans="4:12">
      <c r="D277" s="28"/>
      <c r="F277" s="30"/>
      <c r="J277" s="28"/>
      <c r="L277" s="28"/>
    </row>
    <row r="278" spans="4:12">
      <c r="D278" s="28"/>
      <c r="F278" s="30"/>
      <c r="J278" s="28"/>
      <c r="L278" s="28"/>
    </row>
    <row r="279" spans="4:12">
      <c r="D279" s="28"/>
      <c r="F279" s="30"/>
      <c r="J279" s="28"/>
      <c r="L279" s="28"/>
    </row>
    <row r="280" spans="4:12">
      <c r="D280" s="28"/>
      <c r="F280" s="30"/>
      <c r="J280" s="28"/>
      <c r="L280" s="28"/>
    </row>
    <row r="281" spans="4:12">
      <c r="D281" s="28"/>
      <c r="F281" s="30"/>
      <c r="J281" s="28"/>
      <c r="L281" s="28"/>
    </row>
    <row r="282" spans="4:12">
      <c r="D282" s="28"/>
      <c r="F282" s="30"/>
      <c r="J282" s="28"/>
      <c r="L282" s="28"/>
    </row>
    <row r="283" spans="4:12">
      <c r="D283" s="28"/>
      <c r="F283" s="30"/>
      <c r="J283" s="28"/>
      <c r="L283" s="28"/>
    </row>
    <row r="284" spans="4:12">
      <c r="D284" s="28"/>
      <c r="F284" s="30"/>
      <c r="J284" s="28"/>
      <c r="L284" s="28"/>
    </row>
    <row r="285" spans="4:12">
      <c r="D285" s="28"/>
      <c r="F285" s="30"/>
      <c r="J285" s="28"/>
      <c r="L285" s="28"/>
    </row>
    <row r="286" spans="4:12">
      <c r="D286" s="28"/>
      <c r="F286" s="30"/>
      <c r="J286" s="28"/>
      <c r="L286" s="28"/>
    </row>
    <row r="287" spans="4:12">
      <c r="D287" s="28"/>
      <c r="F287" s="30"/>
      <c r="J287" s="28"/>
      <c r="L287" s="28"/>
    </row>
    <row r="288" spans="4:12">
      <c r="D288" s="28"/>
      <c r="F288" s="30"/>
      <c r="J288" s="28"/>
      <c r="L288" s="28"/>
    </row>
    <row r="289" spans="4:12">
      <c r="D289" s="28"/>
      <c r="F289" s="30"/>
      <c r="J289" s="28"/>
      <c r="L289" s="28"/>
    </row>
    <row r="290" spans="4:12">
      <c r="D290" s="28"/>
      <c r="F290" s="30"/>
      <c r="J290" s="28"/>
      <c r="L290" s="28"/>
    </row>
    <row r="291" spans="4:12">
      <c r="D291" s="28"/>
      <c r="F291" s="30"/>
      <c r="J291" s="28"/>
      <c r="L291" s="28"/>
    </row>
    <row r="292" spans="4:12">
      <c r="D292" s="28"/>
      <c r="F292" s="30"/>
      <c r="J292" s="28"/>
      <c r="L292" s="28"/>
    </row>
    <row r="293" spans="4:12">
      <c r="D293" s="28"/>
      <c r="F293" s="30"/>
      <c r="J293" s="28"/>
      <c r="L293" s="28"/>
    </row>
    <row r="294" spans="4:12">
      <c r="D294" s="28"/>
      <c r="F294" s="30"/>
      <c r="J294" s="28"/>
      <c r="L294" s="28"/>
    </row>
    <row r="295" spans="4:12">
      <c r="D295" s="28"/>
      <c r="F295" s="30"/>
      <c r="J295" s="28"/>
      <c r="L295" s="28"/>
    </row>
    <row r="296" spans="4:12">
      <c r="D296" s="28"/>
      <c r="F296" s="30"/>
      <c r="J296" s="28"/>
      <c r="L296" s="28"/>
    </row>
    <row r="297" spans="4:12">
      <c r="D297" s="28"/>
      <c r="F297" s="30"/>
      <c r="J297" s="28"/>
      <c r="L297" s="28"/>
    </row>
    <row r="298" spans="4:12">
      <c r="D298" s="28"/>
      <c r="F298" s="30"/>
      <c r="J298" s="28"/>
      <c r="L298" s="28"/>
    </row>
    <row r="299" spans="4:12">
      <c r="D299" s="28"/>
      <c r="F299" s="30"/>
      <c r="J299" s="28"/>
      <c r="L299" s="28"/>
    </row>
    <row r="300" spans="4:12">
      <c r="D300" s="28"/>
      <c r="F300" s="30"/>
      <c r="J300" s="28"/>
      <c r="L300" s="28"/>
    </row>
    <row r="301" spans="4:12">
      <c r="D301" s="28"/>
      <c r="F301" s="30"/>
      <c r="J301" s="28"/>
      <c r="L301" s="28"/>
    </row>
    <row r="302" spans="4:12">
      <c r="D302" s="28"/>
      <c r="F302" s="30"/>
      <c r="J302" s="28"/>
      <c r="L302" s="28"/>
    </row>
    <row r="303" spans="4:12">
      <c r="D303" s="28"/>
      <c r="F303" s="30"/>
      <c r="J303" s="28"/>
      <c r="L303" s="28"/>
    </row>
    <row r="304" spans="4:12">
      <c r="D304" s="28"/>
      <c r="F304" s="30"/>
      <c r="J304" s="28"/>
      <c r="L304" s="28"/>
    </row>
    <row r="305" spans="4:12">
      <c r="D305" s="28"/>
      <c r="F305" s="30"/>
      <c r="J305" s="28"/>
      <c r="L305" s="28"/>
    </row>
    <row r="306" spans="4:12">
      <c r="D306" s="28"/>
      <c r="F306" s="30"/>
      <c r="J306" s="28"/>
      <c r="L306" s="28"/>
    </row>
    <row r="307" spans="4:12">
      <c r="D307" s="28"/>
      <c r="F307" s="30"/>
      <c r="J307" s="28"/>
      <c r="L307" s="28"/>
    </row>
    <row r="308" spans="4:12">
      <c r="D308" s="28"/>
      <c r="F308" s="30"/>
      <c r="J308" s="28"/>
      <c r="L308" s="28"/>
    </row>
    <row r="309" spans="4:12">
      <c r="D309" s="28"/>
      <c r="F309" s="30"/>
      <c r="J309" s="28"/>
      <c r="L309" s="28"/>
    </row>
    <row r="310" spans="4:12">
      <c r="D310" s="28"/>
      <c r="F310" s="30"/>
      <c r="J310" s="28"/>
      <c r="L310" s="28"/>
    </row>
    <row r="311" spans="4:12">
      <c r="D311" s="28"/>
      <c r="F311" s="30"/>
      <c r="J311" s="28"/>
      <c r="L311" s="28"/>
    </row>
    <row r="312" spans="4:12">
      <c r="D312" s="28"/>
      <c r="F312" s="30"/>
      <c r="J312" s="28"/>
      <c r="L312" s="28"/>
    </row>
    <row r="313" spans="4:12">
      <c r="D313" s="28"/>
      <c r="F313" s="30"/>
      <c r="J313" s="28"/>
      <c r="L313" s="28"/>
    </row>
    <row r="314" spans="4:12">
      <c r="D314" s="28"/>
      <c r="F314" s="30"/>
      <c r="J314" s="28"/>
      <c r="L314" s="28"/>
    </row>
    <row r="315" spans="4:12">
      <c r="D315" s="28"/>
      <c r="F315" s="30"/>
      <c r="J315" s="28"/>
      <c r="L315" s="28"/>
    </row>
    <row r="316" spans="4:12">
      <c r="D316" s="28"/>
      <c r="F316" s="30"/>
      <c r="J316" s="28"/>
      <c r="L316" s="28"/>
    </row>
    <row r="317" spans="4:12">
      <c r="D317" s="28"/>
      <c r="F317" s="30"/>
      <c r="J317" s="28"/>
      <c r="L317" s="28"/>
    </row>
    <row r="318" spans="4:12">
      <c r="D318" s="28"/>
      <c r="F318" s="30"/>
      <c r="J318" s="28"/>
      <c r="L318" s="28"/>
    </row>
    <row r="319" spans="4:12">
      <c r="D319" s="28"/>
      <c r="F319" s="30"/>
      <c r="J319" s="28"/>
      <c r="L319" s="28"/>
    </row>
    <row r="320" spans="4:12">
      <c r="D320" s="28"/>
      <c r="F320" s="30"/>
      <c r="J320" s="28"/>
      <c r="L320" s="28"/>
    </row>
    <row r="321" spans="4:12">
      <c r="D321" s="28"/>
      <c r="F321" s="30"/>
      <c r="J321" s="28"/>
      <c r="L321" s="28"/>
    </row>
    <row r="322" spans="4:12">
      <c r="D322" s="28"/>
      <c r="F322" s="30"/>
      <c r="J322" s="28"/>
      <c r="L322" s="28"/>
    </row>
    <row r="323" spans="4:12">
      <c r="D323" s="28"/>
      <c r="F323" s="30"/>
      <c r="J323" s="28"/>
      <c r="L323" s="28"/>
    </row>
    <row r="324" spans="4:12">
      <c r="D324" s="28"/>
      <c r="F324" s="30"/>
      <c r="J324" s="28"/>
      <c r="L324" s="28"/>
    </row>
    <row r="325" spans="4:12">
      <c r="D325" s="28"/>
      <c r="F325" s="30"/>
      <c r="J325" s="28"/>
      <c r="L325" s="28"/>
    </row>
    <row r="326" spans="4:12">
      <c r="D326" s="28"/>
      <c r="F326" s="30"/>
      <c r="J326" s="28"/>
      <c r="L326" s="28"/>
    </row>
    <row r="327" spans="4:12">
      <c r="D327" s="28"/>
      <c r="F327" s="30"/>
      <c r="J327" s="28"/>
      <c r="L327" s="28"/>
    </row>
    <row r="328" spans="4:12">
      <c r="D328" s="28"/>
      <c r="F328" s="30"/>
      <c r="J328" s="28"/>
      <c r="L328" s="28"/>
    </row>
    <row r="329" spans="4:12">
      <c r="D329" s="28"/>
      <c r="F329" s="30"/>
      <c r="J329" s="28"/>
      <c r="L329" s="28"/>
    </row>
    <row r="330" spans="4:12">
      <c r="D330" s="28"/>
      <c r="F330" s="30"/>
      <c r="J330" s="28"/>
      <c r="L330" s="28"/>
    </row>
    <row r="331" spans="4:12">
      <c r="D331" s="28"/>
      <c r="F331" s="30"/>
      <c r="J331" s="28"/>
      <c r="L331" s="28"/>
    </row>
    <row r="332" spans="4:12">
      <c r="D332" s="28"/>
      <c r="F332" s="30"/>
      <c r="J332" s="28"/>
      <c r="L332" s="28"/>
    </row>
    <row r="333" spans="4:12">
      <c r="D333" s="28"/>
      <c r="F333" s="30"/>
      <c r="J333" s="28"/>
      <c r="L333" s="28"/>
    </row>
    <row r="334" spans="4:12">
      <c r="D334" s="28"/>
      <c r="F334" s="30"/>
      <c r="J334" s="28"/>
      <c r="L334" s="28"/>
    </row>
    <row r="335" spans="4:12">
      <c r="D335" s="28"/>
      <c r="F335" s="30"/>
      <c r="J335" s="28"/>
      <c r="L335" s="28"/>
    </row>
    <row r="336" spans="4:12">
      <c r="D336" s="28"/>
      <c r="F336" s="30"/>
      <c r="J336" s="28"/>
      <c r="L336" s="28"/>
    </row>
    <row r="337" spans="4:12">
      <c r="D337" s="28"/>
      <c r="F337" s="30"/>
      <c r="J337" s="28"/>
      <c r="L337" s="28"/>
    </row>
    <row r="338" spans="4:12">
      <c r="D338" s="28"/>
      <c r="F338" s="30"/>
      <c r="J338" s="28"/>
      <c r="L338" s="28"/>
    </row>
    <row r="339" spans="4:12">
      <c r="D339" s="28"/>
      <c r="F339" s="30"/>
      <c r="J339" s="28"/>
      <c r="L339" s="28"/>
    </row>
    <row r="340" spans="4:12">
      <c r="D340" s="28"/>
      <c r="F340" s="30"/>
      <c r="J340" s="28"/>
      <c r="L340" s="28"/>
    </row>
    <row r="341" spans="4:12">
      <c r="D341" s="28"/>
      <c r="F341" s="30"/>
      <c r="J341" s="28"/>
      <c r="L341" s="28"/>
    </row>
    <row r="342" spans="4:12">
      <c r="D342" s="28"/>
      <c r="F342" s="30"/>
      <c r="J342" s="28"/>
      <c r="L342" s="28"/>
    </row>
    <row r="343" spans="4:12">
      <c r="D343" s="28"/>
      <c r="F343" s="30"/>
      <c r="J343" s="28"/>
      <c r="L343" s="28"/>
    </row>
    <row r="344" spans="4:12">
      <c r="D344" s="28"/>
      <c r="F344" s="30"/>
      <c r="J344" s="28"/>
      <c r="L344" s="28"/>
    </row>
    <row r="345" spans="4:12">
      <c r="D345" s="28"/>
      <c r="F345" s="30"/>
      <c r="J345" s="28"/>
      <c r="L345" s="28"/>
    </row>
    <row r="346" spans="4:12">
      <c r="D346" s="28"/>
      <c r="F346" s="30"/>
      <c r="J346" s="28"/>
      <c r="L346" s="28"/>
    </row>
    <row r="347" spans="4:12">
      <c r="D347" s="28"/>
      <c r="F347" s="30"/>
      <c r="J347" s="28"/>
      <c r="L347" s="28"/>
    </row>
    <row r="348" spans="4:12">
      <c r="D348" s="28"/>
      <c r="F348" s="30"/>
      <c r="J348" s="28"/>
      <c r="L348" s="28"/>
    </row>
    <row r="349" spans="4:12">
      <c r="D349" s="28"/>
      <c r="F349" s="30"/>
      <c r="J349" s="28"/>
      <c r="L349" s="28"/>
    </row>
    <row r="350" spans="4:12">
      <c r="D350" s="28"/>
      <c r="F350" s="30"/>
      <c r="J350" s="28"/>
      <c r="L350" s="28"/>
    </row>
    <row r="351" spans="4:12">
      <c r="D351" s="28"/>
      <c r="F351" s="30"/>
      <c r="J351" s="28"/>
      <c r="L351" s="28"/>
    </row>
    <row r="352" spans="4:12">
      <c r="D352" s="28"/>
      <c r="F352" s="30"/>
      <c r="J352" s="28"/>
      <c r="L352" s="28"/>
    </row>
    <row r="353" spans="4:12">
      <c r="D353" s="28"/>
      <c r="F353" s="30"/>
      <c r="J353" s="28"/>
      <c r="L353" s="28"/>
    </row>
    <row r="354" spans="4:12">
      <c r="D354" s="28"/>
      <c r="F354" s="30"/>
      <c r="J354" s="28"/>
      <c r="L354" s="28"/>
    </row>
    <row r="355" spans="4:12">
      <c r="D355" s="28"/>
      <c r="F355" s="30"/>
      <c r="J355" s="28"/>
      <c r="L355" s="28"/>
    </row>
    <row r="356" spans="4:12">
      <c r="D356" s="28"/>
      <c r="F356" s="30"/>
      <c r="J356" s="28"/>
      <c r="L356" s="28"/>
    </row>
    <row r="357" spans="4:12">
      <c r="D357" s="28"/>
      <c r="F357" s="30"/>
      <c r="J357" s="28"/>
      <c r="L357" s="28"/>
    </row>
    <row r="358" spans="4:12">
      <c r="D358" s="28"/>
      <c r="F358" s="30"/>
      <c r="J358" s="28"/>
      <c r="L358" s="28"/>
    </row>
    <row r="359" spans="4:12">
      <c r="D359" s="28"/>
      <c r="F359" s="30"/>
      <c r="J359" s="28"/>
      <c r="L359" s="28"/>
    </row>
    <row r="360" spans="4:12">
      <c r="D360" s="28"/>
      <c r="F360" s="30"/>
      <c r="J360" s="28"/>
      <c r="L360" s="28"/>
    </row>
    <row r="361" spans="4:12">
      <c r="D361" s="28"/>
      <c r="F361" s="30"/>
      <c r="J361" s="28"/>
      <c r="L361" s="28"/>
    </row>
    <row r="362" spans="4:12">
      <c r="D362" s="28"/>
      <c r="F362" s="30"/>
      <c r="J362" s="28"/>
      <c r="L362" s="28"/>
    </row>
    <row r="363" spans="4:12">
      <c r="D363" s="28"/>
      <c r="F363" s="30"/>
      <c r="J363" s="28"/>
      <c r="L363" s="28"/>
    </row>
    <row r="364" spans="4:12">
      <c r="D364" s="28"/>
      <c r="F364" s="30"/>
      <c r="J364" s="28"/>
      <c r="L364" s="28"/>
    </row>
    <row r="365" spans="4:12">
      <c r="D365" s="28"/>
      <c r="F365" s="30"/>
      <c r="J365" s="28"/>
      <c r="L365" s="28"/>
    </row>
    <row r="366" spans="4:12">
      <c r="D366" s="28"/>
      <c r="F366" s="30"/>
      <c r="J366" s="28"/>
      <c r="L366" s="28"/>
    </row>
    <row r="367" spans="4:12">
      <c r="D367" s="28"/>
      <c r="F367" s="30"/>
      <c r="J367" s="28"/>
      <c r="L367" s="28"/>
    </row>
    <row r="368" spans="4:12">
      <c r="D368" s="28"/>
      <c r="F368" s="30"/>
      <c r="J368" s="28"/>
      <c r="L368" s="28"/>
    </row>
    <row r="369" spans="4:12">
      <c r="D369" s="28"/>
      <c r="F369" s="30"/>
      <c r="J369" s="28"/>
      <c r="L369" s="28"/>
    </row>
    <row r="370" spans="4:12">
      <c r="D370" s="28"/>
      <c r="F370" s="30"/>
      <c r="J370" s="28"/>
      <c r="L370" s="28"/>
    </row>
    <row r="371" spans="4:12">
      <c r="D371" s="28"/>
      <c r="F371" s="30"/>
      <c r="J371" s="28"/>
      <c r="L371" s="28"/>
    </row>
    <row r="372" spans="4:12">
      <c r="D372" s="28"/>
      <c r="F372" s="30"/>
      <c r="J372" s="28"/>
      <c r="L372" s="28"/>
    </row>
    <row r="373" spans="4:12">
      <c r="D373" s="28"/>
      <c r="F373" s="30"/>
      <c r="J373" s="28"/>
      <c r="L373" s="28"/>
    </row>
    <row r="374" spans="4:12">
      <c r="D374" s="28"/>
      <c r="F374" s="30"/>
      <c r="J374" s="28"/>
      <c r="L374" s="28"/>
    </row>
    <row r="375" spans="4:12">
      <c r="D375" s="28"/>
      <c r="F375" s="30"/>
      <c r="J375" s="28"/>
      <c r="L375" s="28"/>
    </row>
    <row r="376" spans="4:12">
      <c r="D376" s="28"/>
      <c r="F376" s="30"/>
      <c r="J376" s="28"/>
      <c r="L376" s="28"/>
    </row>
    <row r="377" spans="4:12">
      <c r="D377" s="28"/>
      <c r="F377" s="30"/>
      <c r="J377" s="28"/>
      <c r="L377" s="28"/>
    </row>
    <row r="378" spans="4:12">
      <c r="D378" s="28"/>
      <c r="F378" s="30"/>
      <c r="J378" s="28"/>
      <c r="L378" s="28"/>
    </row>
    <row r="379" spans="4:12">
      <c r="D379" s="28"/>
      <c r="F379" s="30"/>
      <c r="J379" s="28"/>
      <c r="L379" s="28"/>
    </row>
    <row r="380" spans="4:12">
      <c r="D380" s="28"/>
      <c r="F380" s="30"/>
      <c r="J380" s="28"/>
      <c r="L380" s="28"/>
    </row>
    <row r="381" spans="4:12">
      <c r="D381" s="28"/>
      <c r="F381" s="30"/>
      <c r="J381" s="28"/>
      <c r="L381" s="28"/>
    </row>
    <row r="382" spans="4:12">
      <c r="D382" s="28"/>
      <c r="F382" s="30"/>
      <c r="J382" s="28"/>
      <c r="L382" s="28"/>
    </row>
    <row r="383" spans="4:12">
      <c r="D383" s="28"/>
      <c r="F383" s="30"/>
      <c r="J383" s="28"/>
      <c r="L383" s="28"/>
    </row>
    <row r="384" spans="4:12">
      <c r="D384" s="28"/>
      <c r="F384" s="30"/>
      <c r="J384" s="28"/>
      <c r="L384" s="28"/>
    </row>
    <row r="385" spans="4:12">
      <c r="D385" s="28"/>
      <c r="F385" s="30"/>
      <c r="J385" s="28"/>
      <c r="L385" s="28"/>
    </row>
    <row r="386" spans="4:12">
      <c r="D386" s="28"/>
      <c r="F386" s="30"/>
      <c r="J386" s="28"/>
      <c r="L386" s="28"/>
    </row>
    <row r="387" spans="4:12">
      <c r="D387" s="28"/>
      <c r="F387" s="30"/>
      <c r="J387" s="28"/>
      <c r="L387" s="28"/>
    </row>
    <row r="388" spans="4:12">
      <c r="D388" s="28"/>
      <c r="F388" s="30"/>
      <c r="J388" s="28"/>
      <c r="L388" s="28"/>
    </row>
    <row r="389" spans="4:12">
      <c r="D389" s="28"/>
      <c r="F389" s="30"/>
      <c r="J389" s="28"/>
      <c r="L389" s="28"/>
    </row>
    <row r="390" spans="4:12">
      <c r="D390" s="28"/>
      <c r="F390" s="30"/>
      <c r="J390" s="28"/>
      <c r="L390" s="28"/>
    </row>
    <row r="391" spans="4:12">
      <c r="D391" s="28"/>
      <c r="F391" s="30"/>
      <c r="J391" s="28"/>
      <c r="L391" s="28"/>
    </row>
    <row r="392" spans="4:12">
      <c r="D392" s="28"/>
      <c r="F392" s="30"/>
      <c r="J392" s="28"/>
      <c r="L392" s="28"/>
    </row>
    <row r="393" spans="4:12">
      <c r="D393" s="28"/>
      <c r="F393" s="30"/>
      <c r="J393" s="28"/>
      <c r="L393" s="28"/>
    </row>
    <row r="394" spans="4:12">
      <c r="D394" s="28"/>
      <c r="F394" s="30"/>
      <c r="J394" s="28"/>
      <c r="L394" s="28"/>
    </row>
    <row r="395" spans="4:12">
      <c r="D395" s="28"/>
      <c r="F395" s="30"/>
      <c r="J395" s="28"/>
      <c r="L395" s="28"/>
    </row>
    <row r="396" spans="4:12">
      <c r="D396" s="28"/>
      <c r="F396" s="30"/>
      <c r="J396" s="28"/>
      <c r="L396" s="28"/>
    </row>
    <row r="397" spans="4:12">
      <c r="D397" s="28"/>
      <c r="F397" s="30"/>
      <c r="J397" s="28"/>
      <c r="L397" s="28"/>
    </row>
    <row r="398" spans="4:12">
      <c r="D398" s="28"/>
      <c r="F398" s="30"/>
      <c r="J398" s="28"/>
      <c r="L398" s="28"/>
    </row>
    <row r="399" spans="4:12">
      <c r="D399" s="28"/>
      <c r="F399" s="30"/>
      <c r="J399" s="28"/>
      <c r="L399" s="28"/>
    </row>
    <row r="400" spans="4:12">
      <c r="D400" s="28"/>
      <c r="F400" s="30"/>
      <c r="J400" s="28"/>
      <c r="L400" s="28"/>
    </row>
    <row r="401" spans="4:12">
      <c r="D401" s="28"/>
      <c r="F401" s="30"/>
      <c r="J401" s="28"/>
      <c r="L401" s="28"/>
    </row>
    <row r="402" spans="4:12">
      <c r="D402" s="28"/>
      <c r="F402" s="30"/>
      <c r="J402" s="28"/>
      <c r="L402" s="28"/>
    </row>
    <row r="403" spans="4:12">
      <c r="D403" s="28"/>
      <c r="F403" s="30"/>
      <c r="J403" s="28"/>
      <c r="L403" s="28"/>
    </row>
    <row r="404" spans="4:12">
      <c r="D404" s="28"/>
      <c r="F404" s="30"/>
      <c r="J404" s="28"/>
      <c r="L404" s="28"/>
    </row>
    <row r="405" spans="4:12">
      <c r="D405" s="28"/>
      <c r="F405" s="30"/>
      <c r="J405" s="28"/>
      <c r="L405" s="28"/>
    </row>
    <row r="406" spans="4:12">
      <c r="D406" s="28"/>
      <c r="F406" s="30"/>
      <c r="J406" s="28"/>
      <c r="L406" s="28"/>
    </row>
    <row r="407" spans="4:12">
      <c r="D407" s="28"/>
      <c r="F407" s="30"/>
      <c r="J407" s="28"/>
      <c r="L407" s="28"/>
    </row>
    <row r="408" spans="4:12">
      <c r="D408" s="28"/>
      <c r="F408" s="30"/>
      <c r="J408" s="28"/>
      <c r="L408" s="28"/>
    </row>
    <row r="409" spans="4:12">
      <c r="D409" s="28"/>
      <c r="F409" s="30"/>
      <c r="J409" s="28"/>
      <c r="L409" s="28"/>
    </row>
    <row r="410" spans="4:12">
      <c r="D410" s="28"/>
      <c r="F410" s="30"/>
      <c r="J410" s="28"/>
      <c r="L410" s="28"/>
    </row>
    <row r="411" spans="4:12">
      <c r="D411" s="28"/>
      <c r="F411" s="30"/>
      <c r="J411" s="28"/>
      <c r="L411" s="28"/>
    </row>
    <row r="412" spans="4:12">
      <c r="D412" s="28"/>
      <c r="F412" s="30"/>
      <c r="J412" s="28"/>
      <c r="L412" s="28"/>
    </row>
    <row r="413" spans="4:12">
      <c r="D413" s="28"/>
      <c r="F413" s="30"/>
      <c r="J413" s="28"/>
      <c r="L413" s="28"/>
    </row>
    <row r="414" spans="4:12">
      <c r="D414" s="28"/>
      <c r="F414" s="30"/>
      <c r="J414" s="28"/>
      <c r="L414" s="28"/>
    </row>
    <row r="415" spans="4:12">
      <c r="D415" s="28"/>
      <c r="F415" s="30"/>
      <c r="J415" s="28"/>
      <c r="L415" s="28"/>
    </row>
    <row r="416" spans="4:12">
      <c r="D416" s="28"/>
      <c r="F416" s="30"/>
      <c r="J416" s="28"/>
      <c r="L416" s="28"/>
    </row>
    <row r="417" spans="4:12">
      <c r="D417" s="28"/>
      <c r="F417" s="30"/>
      <c r="J417" s="28"/>
      <c r="L417" s="28"/>
    </row>
    <row r="418" spans="4:12">
      <c r="D418" s="28"/>
      <c r="F418" s="30"/>
      <c r="J418" s="28"/>
      <c r="L418" s="28"/>
    </row>
    <row r="419" spans="4:12">
      <c r="D419" s="28"/>
      <c r="F419" s="30"/>
      <c r="J419" s="28"/>
      <c r="L419" s="28"/>
    </row>
    <row r="420" spans="4:12">
      <c r="D420" s="28"/>
      <c r="F420" s="30"/>
      <c r="J420" s="28"/>
      <c r="L420" s="28"/>
    </row>
    <row r="421" spans="4:12">
      <c r="D421" s="28"/>
      <c r="F421" s="30"/>
      <c r="J421" s="28"/>
      <c r="L421" s="28"/>
    </row>
    <row r="422" spans="4:12">
      <c r="D422" s="28"/>
      <c r="F422" s="30"/>
      <c r="J422" s="28"/>
      <c r="L422" s="28"/>
    </row>
    <row r="423" spans="4:12">
      <c r="D423" s="28"/>
      <c r="F423" s="30"/>
      <c r="J423" s="28"/>
      <c r="L423" s="28"/>
    </row>
    <row r="424" spans="4:12">
      <c r="D424" s="28"/>
      <c r="F424" s="30"/>
      <c r="J424" s="28"/>
      <c r="L424" s="28"/>
    </row>
    <row r="425" spans="4:12">
      <c r="D425" s="28"/>
      <c r="F425" s="30"/>
      <c r="J425" s="28"/>
      <c r="L425" s="28"/>
    </row>
    <row r="426" spans="4:12">
      <c r="D426" s="28"/>
      <c r="F426" s="30"/>
      <c r="J426" s="28"/>
      <c r="L426" s="28"/>
    </row>
    <row r="427" spans="4:12">
      <c r="D427" s="28"/>
      <c r="F427" s="30"/>
      <c r="J427" s="28"/>
      <c r="L427" s="28"/>
    </row>
    <row r="428" spans="4:12">
      <c r="D428" s="28"/>
      <c r="F428" s="30"/>
      <c r="J428" s="28"/>
      <c r="L428" s="28"/>
    </row>
    <row r="429" spans="4:12">
      <c r="D429" s="28"/>
      <c r="F429" s="30"/>
      <c r="J429" s="28"/>
      <c r="L429" s="28"/>
    </row>
    <row r="430" spans="4:12">
      <c r="D430" s="28"/>
      <c r="F430" s="30"/>
      <c r="J430" s="28"/>
      <c r="L430" s="28"/>
    </row>
    <row r="431" spans="4:12">
      <c r="D431" s="28"/>
      <c r="F431" s="30"/>
      <c r="J431" s="28"/>
      <c r="L431" s="28"/>
    </row>
    <row r="432" spans="4:12">
      <c r="D432" s="28"/>
      <c r="F432" s="30"/>
      <c r="J432" s="28"/>
      <c r="L432" s="28"/>
    </row>
    <row r="433" spans="4:12">
      <c r="D433" s="28"/>
      <c r="F433" s="30"/>
      <c r="J433" s="28"/>
      <c r="L433" s="28"/>
    </row>
    <row r="434" spans="4:12">
      <c r="D434" s="28"/>
      <c r="F434" s="30"/>
      <c r="J434" s="28"/>
      <c r="L434" s="28"/>
    </row>
    <row r="435" spans="4:12">
      <c r="D435" s="28"/>
      <c r="F435" s="30"/>
      <c r="J435" s="28"/>
      <c r="L435" s="28"/>
    </row>
    <row r="436" spans="4:12">
      <c r="D436" s="28"/>
      <c r="F436" s="30"/>
      <c r="J436" s="28"/>
      <c r="L436" s="28"/>
    </row>
    <row r="437" spans="4:12">
      <c r="D437" s="28"/>
      <c r="F437" s="30"/>
      <c r="J437" s="28"/>
      <c r="L437" s="28"/>
    </row>
    <row r="438" spans="4:12">
      <c r="D438" s="28"/>
      <c r="F438" s="30"/>
      <c r="J438" s="28"/>
      <c r="L438" s="28"/>
    </row>
    <row r="439" spans="4:12">
      <c r="D439" s="28"/>
      <c r="F439" s="30"/>
      <c r="J439" s="28"/>
      <c r="L439" s="28"/>
    </row>
    <row r="440" spans="4:12">
      <c r="D440" s="28"/>
      <c r="F440" s="30"/>
      <c r="J440" s="28"/>
      <c r="L440" s="28"/>
    </row>
    <row r="441" spans="4:12">
      <c r="D441" s="28"/>
      <c r="F441" s="30"/>
      <c r="J441" s="28"/>
      <c r="L441" s="28"/>
    </row>
    <row r="442" spans="4:12">
      <c r="D442" s="28"/>
      <c r="F442" s="30"/>
      <c r="J442" s="28"/>
      <c r="L442" s="28"/>
    </row>
    <row r="443" spans="4:12">
      <c r="D443" s="28"/>
      <c r="F443" s="30"/>
      <c r="J443" s="28"/>
      <c r="L443" s="28"/>
    </row>
    <row r="444" spans="4:12">
      <c r="D444" s="28"/>
      <c r="F444" s="30"/>
      <c r="J444" s="28"/>
      <c r="L444" s="28"/>
    </row>
    <row r="445" spans="4:12">
      <c r="D445" s="28"/>
      <c r="F445" s="30"/>
      <c r="J445" s="28"/>
      <c r="L445" s="28"/>
    </row>
    <row r="446" spans="4:12">
      <c r="D446" s="28"/>
      <c r="F446" s="30"/>
      <c r="J446" s="28"/>
      <c r="L446" s="28"/>
    </row>
    <row r="447" spans="4:12">
      <c r="D447" s="28"/>
      <c r="F447" s="30"/>
      <c r="J447" s="28"/>
      <c r="L447" s="28"/>
    </row>
    <row r="448" spans="4:12">
      <c r="D448" s="28"/>
      <c r="F448" s="30"/>
      <c r="J448" s="28"/>
      <c r="L448" s="28"/>
    </row>
    <row r="449" spans="4:12">
      <c r="D449" s="28"/>
      <c r="F449" s="30"/>
      <c r="J449" s="28"/>
      <c r="L449" s="28"/>
    </row>
    <row r="450" spans="4:12">
      <c r="D450" s="28"/>
      <c r="F450" s="30"/>
      <c r="J450" s="28"/>
      <c r="L450" s="28"/>
    </row>
    <row r="451" spans="4:12">
      <c r="D451" s="28"/>
      <c r="F451" s="30"/>
      <c r="J451" s="28"/>
      <c r="L451" s="28"/>
    </row>
    <row r="452" spans="4:12">
      <c r="D452" s="28"/>
      <c r="F452" s="30"/>
      <c r="J452" s="28"/>
      <c r="L452" s="28"/>
    </row>
    <row r="453" spans="4:12">
      <c r="D453" s="28"/>
      <c r="F453" s="30"/>
      <c r="J453" s="28"/>
      <c r="L453" s="28"/>
    </row>
    <row r="454" spans="4:12">
      <c r="D454" s="28"/>
      <c r="F454" s="30"/>
      <c r="J454" s="28"/>
      <c r="L454" s="28"/>
    </row>
    <row r="455" spans="4:12">
      <c r="D455" s="28"/>
      <c r="F455" s="30"/>
      <c r="J455" s="28"/>
      <c r="L455" s="28"/>
    </row>
    <row r="456" spans="4:12">
      <c r="D456" s="28"/>
      <c r="F456" s="30"/>
      <c r="J456" s="28"/>
      <c r="L456" s="28"/>
    </row>
    <row r="457" spans="4:12">
      <c r="D457" s="28"/>
      <c r="F457" s="30"/>
      <c r="J457" s="28"/>
      <c r="L457" s="28"/>
    </row>
    <row r="458" spans="4:12">
      <c r="D458" s="28"/>
      <c r="F458" s="30"/>
      <c r="J458" s="28"/>
      <c r="L458" s="28"/>
    </row>
    <row r="459" spans="4:12">
      <c r="D459" s="28"/>
      <c r="F459" s="30"/>
      <c r="J459" s="28"/>
      <c r="L459" s="28"/>
    </row>
    <row r="460" spans="4:12">
      <c r="D460" s="28"/>
      <c r="F460" s="30"/>
      <c r="J460" s="28"/>
      <c r="L460" s="28"/>
    </row>
    <row r="461" spans="4:12">
      <c r="D461" s="28"/>
      <c r="F461" s="30"/>
      <c r="J461" s="28"/>
      <c r="L461" s="28"/>
    </row>
    <row r="462" spans="4:12">
      <c r="D462" s="28"/>
      <c r="F462" s="30"/>
      <c r="J462" s="28"/>
      <c r="L462" s="28"/>
    </row>
    <row r="463" spans="4:12">
      <c r="D463" s="28"/>
      <c r="F463" s="30"/>
      <c r="J463" s="28"/>
      <c r="L463" s="28"/>
    </row>
    <row r="464" spans="4:12">
      <c r="D464" s="28"/>
      <c r="F464" s="30"/>
      <c r="J464" s="28"/>
      <c r="L464" s="28"/>
    </row>
    <row r="465" spans="4:12">
      <c r="D465" s="28"/>
      <c r="F465" s="30"/>
      <c r="J465" s="28"/>
      <c r="L465" s="28"/>
    </row>
    <row r="466" spans="4:12">
      <c r="D466" s="28"/>
      <c r="F466" s="30"/>
      <c r="J466" s="28"/>
      <c r="L466" s="28"/>
    </row>
    <row r="467" spans="4:12">
      <c r="D467" s="28"/>
      <c r="F467" s="30"/>
      <c r="J467" s="28"/>
      <c r="L467" s="28"/>
    </row>
    <row r="468" spans="4:12">
      <c r="D468" s="28"/>
      <c r="F468" s="30"/>
      <c r="J468" s="28"/>
      <c r="L468" s="28"/>
    </row>
    <row r="469" spans="4:12">
      <c r="D469" s="28"/>
      <c r="F469" s="30"/>
      <c r="J469" s="28"/>
      <c r="L469" s="28"/>
    </row>
    <row r="470" spans="4:12">
      <c r="D470" s="28"/>
      <c r="F470" s="30"/>
      <c r="J470" s="28"/>
      <c r="L470" s="28"/>
    </row>
    <row r="471" spans="4:12">
      <c r="D471" s="28"/>
      <c r="F471" s="30"/>
      <c r="J471" s="28"/>
      <c r="L471" s="28"/>
    </row>
    <row r="472" spans="4:12">
      <c r="D472" s="28"/>
      <c r="F472" s="30"/>
      <c r="J472" s="28"/>
      <c r="L472" s="28"/>
    </row>
    <row r="473" spans="4:12">
      <c r="D473" s="28"/>
      <c r="F473" s="30"/>
      <c r="J473" s="28"/>
      <c r="L473" s="28"/>
    </row>
    <row r="474" spans="4:12">
      <c r="D474" s="28"/>
      <c r="F474" s="30"/>
      <c r="J474" s="28"/>
      <c r="L474" s="28"/>
    </row>
    <row r="475" spans="4:12">
      <c r="D475" s="28"/>
      <c r="F475" s="30"/>
      <c r="J475" s="28"/>
      <c r="L475" s="28"/>
    </row>
    <row r="476" spans="4:12">
      <c r="D476" s="28"/>
      <c r="F476" s="30"/>
      <c r="J476" s="28"/>
      <c r="L476" s="28"/>
    </row>
    <row r="477" spans="4:12">
      <c r="D477" s="28"/>
      <c r="F477" s="30"/>
      <c r="J477" s="28"/>
      <c r="L477" s="28"/>
    </row>
    <row r="478" spans="4:12">
      <c r="D478" s="28"/>
      <c r="F478" s="30"/>
      <c r="J478" s="28"/>
      <c r="L478" s="28"/>
    </row>
    <row r="479" spans="4:12">
      <c r="D479" s="28"/>
      <c r="F479" s="30"/>
      <c r="J479" s="28"/>
      <c r="L479" s="28"/>
    </row>
    <row r="480" spans="4:12">
      <c r="D480" s="28"/>
      <c r="F480" s="30"/>
      <c r="J480" s="28"/>
      <c r="L480" s="28"/>
    </row>
    <row r="481" spans="4:12">
      <c r="D481" s="28"/>
      <c r="F481" s="30"/>
      <c r="J481" s="28"/>
      <c r="L481" s="28"/>
    </row>
    <row r="482" spans="4:12">
      <c r="D482" s="28"/>
      <c r="F482" s="30"/>
      <c r="J482" s="28"/>
      <c r="L482" s="28"/>
    </row>
    <row r="483" spans="4:12">
      <c r="D483" s="28"/>
      <c r="F483" s="30"/>
      <c r="J483" s="28"/>
      <c r="L483" s="28"/>
    </row>
    <row r="484" spans="4:12">
      <c r="D484" s="28"/>
      <c r="F484" s="30"/>
      <c r="J484" s="28"/>
      <c r="L484" s="28"/>
    </row>
    <row r="485" spans="4:12">
      <c r="D485" s="28"/>
      <c r="F485" s="30"/>
      <c r="J485" s="28"/>
      <c r="L485" s="28"/>
    </row>
    <row r="486" spans="4:12">
      <c r="D486" s="28"/>
      <c r="F486" s="30"/>
      <c r="J486" s="28"/>
      <c r="L486" s="28"/>
    </row>
    <row r="487" spans="4:12">
      <c r="D487" s="28"/>
      <c r="F487" s="30"/>
      <c r="J487" s="28"/>
      <c r="L487" s="28"/>
    </row>
    <row r="488" spans="4:12">
      <c r="D488" s="28"/>
      <c r="F488" s="30"/>
      <c r="J488" s="28"/>
      <c r="L488" s="28"/>
    </row>
    <row r="489" spans="4:12">
      <c r="D489" s="28"/>
      <c r="F489" s="30"/>
      <c r="J489" s="28"/>
      <c r="L489" s="28"/>
    </row>
    <row r="490" spans="4:12">
      <c r="D490" s="28"/>
      <c r="F490" s="30"/>
      <c r="J490" s="28"/>
      <c r="L490" s="28"/>
    </row>
    <row r="491" spans="4:12">
      <c r="D491" s="28"/>
      <c r="F491" s="30"/>
      <c r="J491" s="28"/>
      <c r="L491" s="28"/>
    </row>
    <row r="492" spans="4:12">
      <c r="D492" s="28"/>
      <c r="F492" s="30"/>
      <c r="J492" s="28"/>
      <c r="L492" s="28"/>
    </row>
    <row r="493" spans="4:12">
      <c r="D493" s="28"/>
      <c r="F493" s="30"/>
      <c r="J493" s="28"/>
      <c r="L493" s="28"/>
    </row>
    <row r="494" spans="4:12">
      <c r="D494" s="28"/>
      <c r="F494" s="30"/>
      <c r="J494" s="28"/>
      <c r="L494" s="28"/>
    </row>
    <row r="495" spans="4:12">
      <c r="D495" s="28"/>
      <c r="F495" s="30"/>
      <c r="J495" s="28"/>
      <c r="L495" s="28"/>
    </row>
    <row r="496" spans="4:12">
      <c r="D496" s="28"/>
      <c r="F496" s="30"/>
      <c r="J496" s="28"/>
      <c r="L496" s="28"/>
    </row>
    <row r="497" spans="4:12">
      <c r="D497" s="28"/>
      <c r="F497" s="30"/>
      <c r="J497" s="28"/>
      <c r="L497" s="28"/>
    </row>
    <row r="498" spans="4:12">
      <c r="D498" s="28"/>
      <c r="F498" s="30"/>
      <c r="J498" s="28"/>
      <c r="L498" s="28"/>
    </row>
    <row r="499" spans="4:12">
      <c r="D499" s="28"/>
      <c r="F499" s="30"/>
      <c r="J499" s="28"/>
      <c r="L499" s="28"/>
    </row>
    <row r="500" spans="4:12">
      <c r="D500" s="28"/>
      <c r="F500" s="30"/>
      <c r="J500" s="28"/>
      <c r="L500" s="28"/>
    </row>
    <row r="501" spans="4:12">
      <c r="D501" s="28"/>
      <c r="F501" s="30"/>
      <c r="J501" s="28"/>
      <c r="L501" s="28"/>
    </row>
    <row r="502" spans="4:12">
      <c r="D502" s="28"/>
      <c r="F502" s="30"/>
      <c r="J502" s="28"/>
      <c r="L502" s="28"/>
    </row>
    <row r="503" spans="4:12">
      <c r="D503" s="28"/>
      <c r="F503" s="30"/>
      <c r="J503" s="28"/>
      <c r="L503" s="28"/>
    </row>
    <row r="504" spans="4:12">
      <c r="D504" s="28"/>
      <c r="F504" s="30"/>
      <c r="J504" s="28"/>
      <c r="L504" s="28"/>
    </row>
    <row r="505" spans="4:12">
      <c r="D505" s="28"/>
      <c r="F505" s="30"/>
      <c r="J505" s="28"/>
      <c r="L505" s="28"/>
    </row>
    <row r="506" spans="4:12">
      <c r="D506" s="28"/>
      <c r="F506" s="30"/>
      <c r="J506" s="28"/>
      <c r="L506" s="28"/>
    </row>
    <row r="507" spans="4:12">
      <c r="D507" s="28"/>
      <c r="F507" s="30"/>
      <c r="J507" s="28"/>
      <c r="L507" s="28"/>
    </row>
    <row r="508" spans="4:12">
      <c r="D508" s="28"/>
      <c r="F508" s="30"/>
      <c r="J508" s="28"/>
      <c r="L508" s="28"/>
    </row>
    <row r="509" spans="4:12">
      <c r="D509" s="28"/>
      <c r="F509" s="30"/>
      <c r="J509" s="28"/>
      <c r="L509" s="28"/>
    </row>
    <row r="510" spans="4:12">
      <c r="D510" s="28"/>
      <c r="F510" s="30"/>
      <c r="J510" s="28"/>
      <c r="L510" s="28"/>
    </row>
    <row r="511" spans="4:12">
      <c r="D511" s="28"/>
      <c r="F511" s="30"/>
      <c r="J511" s="28"/>
      <c r="L511" s="28"/>
    </row>
    <row r="512" spans="4:12">
      <c r="D512" s="28"/>
      <c r="F512" s="30"/>
      <c r="J512" s="28"/>
      <c r="L512" s="28"/>
    </row>
    <row r="513" spans="4:12">
      <c r="D513" s="28"/>
      <c r="F513" s="30"/>
      <c r="J513" s="28"/>
      <c r="L513" s="28"/>
    </row>
    <row r="514" spans="4:12">
      <c r="D514" s="28"/>
      <c r="F514" s="30"/>
      <c r="J514" s="28"/>
      <c r="L514" s="28"/>
    </row>
    <row r="515" spans="4:12">
      <c r="D515" s="28"/>
      <c r="F515" s="30"/>
      <c r="J515" s="28"/>
      <c r="L515" s="28"/>
    </row>
    <row r="516" spans="4:12">
      <c r="D516" s="28"/>
      <c r="F516" s="30"/>
      <c r="J516" s="28"/>
      <c r="L516" s="28"/>
    </row>
    <row r="517" spans="4:12">
      <c r="D517" s="28"/>
      <c r="F517" s="30"/>
      <c r="J517" s="28"/>
      <c r="L517" s="28"/>
    </row>
    <row r="518" spans="4:12">
      <c r="D518" s="28"/>
      <c r="F518" s="30"/>
      <c r="J518" s="28"/>
      <c r="L518" s="28"/>
    </row>
    <row r="519" spans="4:12">
      <c r="D519" s="28"/>
      <c r="F519" s="30"/>
      <c r="J519" s="28"/>
      <c r="L519" s="28"/>
    </row>
    <row r="520" spans="4:12">
      <c r="D520" s="28"/>
      <c r="F520" s="30"/>
      <c r="J520" s="28"/>
      <c r="L520" s="28"/>
    </row>
    <row r="521" spans="4:12">
      <c r="D521" s="28"/>
      <c r="F521" s="30"/>
      <c r="J521" s="28"/>
      <c r="L521" s="28"/>
    </row>
    <row r="522" spans="4:12">
      <c r="D522" s="28"/>
      <c r="F522" s="30"/>
      <c r="J522" s="28"/>
      <c r="L522" s="28"/>
    </row>
    <row r="523" spans="4:12">
      <c r="D523" s="28"/>
      <c r="F523" s="30"/>
      <c r="J523" s="28"/>
      <c r="L523" s="28"/>
    </row>
    <row r="524" spans="4:12">
      <c r="D524" s="28"/>
      <c r="F524" s="30"/>
      <c r="J524" s="28"/>
      <c r="L524" s="28"/>
    </row>
    <row r="525" spans="4:12">
      <c r="D525" s="28"/>
      <c r="F525" s="30"/>
      <c r="J525" s="28"/>
      <c r="L525" s="28"/>
    </row>
    <row r="526" spans="4:12">
      <c r="D526" s="28"/>
      <c r="F526" s="30"/>
      <c r="J526" s="28"/>
      <c r="L526" s="28"/>
    </row>
    <row r="527" spans="4:12">
      <c r="D527" s="28"/>
      <c r="F527" s="30"/>
      <c r="J527" s="28"/>
      <c r="L527" s="28"/>
    </row>
    <row r="528" spans="4:12">
      <c r="D528" s="28"/>
      <c r="F528" s="30"/>
      <c r="J528" s="28"/>
      <c r="L528" s="28"/>
    </row>
    <row r="529" spans="4:12">
      <c r="D529" s="28"/>
      <c r="F529" s="30"/>
      <c r="J529" s="28"/>
      <c r="L529" s="28"/>
    </row>
    <row r="530" spans="4:12">
      <c r="D530" s="28"/>
      <c r="F530" s="30"/>
      <c r="J530" s="28"/>
      <c r="L530" s="28"/>
    </row>
    <row r="531" spans="4:12">
      <c r="D531" s="28"/>
      <c r="F531" s="30"/>
      <c r="J531" s="28"/>
      <c r="L531" s="28"/>
    </row>
    <row r="532" spans="4:12">
      <c r="D532" s="28"/>
      <c r="F532" s="30"/>
      <c r="J532" s="28"/>
      <c r="L532" s="28"/>
    </row>
    <row r="533" spans="4:12">
      <c r="D533" s="28"/>
      <c r="F533" s="30"/>
      <c r="J533" s="28"/>
      <c r="L533" s="28"/>
    </row>
    <row r="534" spans="4:12">
      <c r="D534" s="28"/>
      <c r="F534" s="30"/>
      <c r="J534" s="28"/>
      <c r="L534" s="28"/>
    </row>
    <row r="535" spans="4:12">
      <c r="D535" s="28"/>
      <c r="F535" s="30"/>
      <c r="J535" s="28"/>
      <c r="L535" s="28"/>
    </row>
    <row r="536" spans="4:12">
      <c r="D536" s="28"/>
      <c r="F536" s="30"/>
    </row>
    <row r="537" spans="4:12">
      <c r="D537" s="28"/>
      <c r="F537" s="30"/>
    </row>
    <row r="538" spans="4:12">
      <c r="D538" s="28"/>
      <c r="F538" s="30"/>
    </row>
    <row r="539" spans="4:12">
      <c r="D539" s="28"/>
      <c r="F539" s="30"/>
    </row>
    <row r="540" spans="4:12">
      <c r="D540" s="28"/>
      <c r="F540" s="30"/>
    </row>
    <row r="541" spans="4:12">
      <c r="D541" s="28"/>
      <c r="F541" s="30"/>
    </row>
    <row r="542" spans="4:12">
      <c r="D542" s="28"/>
      <c r="F542" s="30"/>
    </row>
    <row r="543" spans="4:12">
      <c r="D543" s="28"/>
      <c r="F543" s="30"/>
    </row>
    <row r="544" spans="4:12">
      <c r="D544" s="28"/>
      <c r="F544" s="30"/>
    </row>
    <row r="545" spans="4:6">
      <c r="D545" s="28"/>
      <c r="F545" s="30"/>
    </row>
    <row r="546" spans="4:6">
      <c r="D546" s="28"/>
      <c r="F546" s="29"/>
    </row>
    <row r="547" spans="4:6">
      <c r="D547" s="28"/>
      <c r="F547" s="29"/>
    </row>
    <row r="548" spans="4:6">
      <c r="D548" s="28"/>
      <c r="F548" s="29"/>
    </row>
    <row r="549" spans="4:6">
      <c r="D549" s="28"/>
      <c r="F549" s="29"/>
    </row>
    <row r="550" spans="4:6">
      <c r="D550" s="28"/>
      <c r="F550" s="29"/>
    </row>
    <row r="551" spans="4:6">
      <c r="D551" s="28"/>
      <c r="F551" s="29"/>
    </row>
    <row r="552" spans="4:6">
      <c r="D552" s="28"/>
      <c r="F552" s="29"/>
    </row>
    <row r="553" spans="4:6">
      <c r="D553" s="28"/>
      <c r="F553" s="29"/>
    </row>
    <row r="554" spans="4:6">
      <c r="D554" s="28"/>
      <c r="F554" s="29"/>
    </row>
    <row r="555" spans="4:6">
      <c r="D555" s="28"/>
      <c r="F555" s="29"/>
    </row>
    <row r="556" spans="4:6">
      <c r="D556" s="28"/>
      <c r="F556" s="29"/>
    </row>
    <row r="557" spans="4:6">
      <c r="D557" s="28"/>
      <c r="F557" s="29"/>
    </row>
    <row r="558" spans="4:6">
      <c r="D558" s="28"/>
      <c r="F558" s="29"/>
    </row>
    <row r="559" spans="4:6">
      <c r="D559" s="28"/>
      <c r="F559" s="29"/>
    </row>
    <row r="560" spans="4:6">
      <c r="D560" s="28"/>
      <c r="F560" s="29"/>
    </row>
    <row r="561" spans="4:6">
      <c r="D561" s="28"/>
      <c r="F561" s="29"/>
    </row>
    <row r="562" spans="4:6">
      <c r="D562" s="28"/>
      <c r="F562" s="29"/>
    </row>
    <row r="563" spans="4:6">
      <c r="D563" s="28"/>
      <c r="F563" s="29"/>
    </row>
    <row r="564" spans="4:6">
      <c r="D564" s="28"/>
      <c r="F564" s="29"/>
    </row>
    <row r="565" spans="4:6">
      <c r="D565" s="28"/>
      <c r="F565" s="29"/>
    </row>
    <row r="566" spans="4:6">
      <c r="D566" s="28"/>
      <c r="F566" s="29"/>
    </row>
    <row r="567" spans="4:6">
      <c r="D567" s="28"/>
      <c r="F567" s="29"/>
    </row>
    <row r="568" spans="4:6">
      <c r="D568" s="28"/>
      <c r="F568" s="29"/>
    </row>
    <row r="569" spans="4:6">
      <c r="D569" s="28"/>
      <c r="F569" s="29"/>
    </row>
    <row r="570" spans="4:6">
      <c r="D570" s="28"/>
      <c r="F570" s="29"/>
    </row>
    <row r="571" spans="4:6">
      <c r="D571" s="28"/>
      <c r="F571" s="29"/>
    </row>
    <row r="572" spans="4:6">
      <c r="D572" s="28"/>
      <c r="F572" s="29"/>
    </row>
    <row r="573" spans="4:6">
      <c r="D573" s="28"/>
      <c r="F573" s="29"/>
    </row>
    <row r="574" spans="4:6">
      <c r="D574" s="28"/>
      <c r="F574" s="29"/>
    </row>
    <row r="575" spans="4:6">
      <c r="D575" s="28"/>
      <c r="F575" s="29"/>
    </row>
    <row r="576" spans="4:6">
      <c r="D576" s="28"/>
      <c r="F576" s="29"/>
    </row>
    <row r="577" spans="4:6">
      <c r="D577" s="28"/>
      <c r="F577" s="29"/>
    </row>
    <row r="578" spans="4:6">
      <c r="D578" s="28"/>
      <c r="F578" s="29"/>
    </row>
    <row r="579" spans="4:6">
      <c r="D579" s="28"/>
      <c r="F579" s="29"/>
    </row>
    <row r="580" spans="4:6">
      <c r="D580" s="28"/>
      <c r="F580" s="29"/>
    </row>
    <row r="581" spans="4:6">
      <c r="D581" s="28"/>
      <c r="F581" s="29"/>
    </row>
    <row r="582" spans="4:6">
      <c r="D582" s="28"/>
      <c r="F582" s="29"/>
    </row>
    <row r="583" spans="4:6">
      <c r="D583" s="28"/>
      <c r="F583" s="29"/>
    </row>
    <row r="584" spans="4:6">
      <c r="D584" s="28"/>
      <c r="F584" s="29"/>
    </row>
    <row r="585" spans="4:6">
      <c r="D585" s="28"/>
      <c r="F585" s="29"/>
    </row>
    <row r="586" spans="4:6">
      <c r="D586" s="28"/>
      <c r="F586" s="29"/>
    </row>
    <row r="587" spans="4:6">
      <c r="D587" s="28"/>
      <c r="F587" s="29"/>
    </row>
    <row r="588" spans="4:6">
      <c r="D588" s="28"/>
      <c r="F588" s="29"/>
    </row>
    <row r="589" spans="4:6">
      <c r="D589" s="28"/>
      <c r="F589" s="29"/>
    </row>
    <row r="590" spans="4:6">
      <c r="D590" s="28"/>
      <c r="F590" s="29"/>
    </row>
    <row r="591" spans="4:6">
      <c r="D591" s="28"/>
      <c r="F591" s="29"/>
    </row>
    <row r="592" spans="4:6">
      <c r="D592" s="28"/>
      <c r="F592" s="29"/>
    </row>
    <row r="593" spans="4:6">
      <c r="D593" s="28"/>
      <c r="F593" s="29"/>
    </row>
    <row r="594" spans="4:6">
      <c r="D594" s="28"/>
      <c r="F594" s="29"/>
    </row>
    <row r="595" spans="4:6">
      <c r="D595" s="28"/>
      <c r="F595" s="29"/>
    </row>
    <row r="596" spans="4:6">
      <c r="D596" s="28"/>
      <c r="F596" s="29"/>
    </row>
    <row r="597" spans="4:6">
      <c r="D597" s="28"/>
      <c r="F597" s="29"/>
    </row>
    <row r="598" spans="4:6">
      <c r="D598" s="28"/>
      <c r="F598" s="29"/>
    </row>
    <row r="599" spans="4:6">
      <c r="D599" s="28"/>
      <c r="F599" s="29"/>
    </row>
    <row r="600" spans="4:6">
      <c r="D600" s="28"/>
      <c r="F600" s="29"/>
    </row>
    <row r="601" spans="4:6">
      <c r="D601" s="28"/>
      <c r="F601" s="29"/>
    </row>
    <row r="602" spans="4:6">
      <c r="D602" s="28"/>
      <c r="F602" s="29"/>
    </row>
    <row r="603" spans="4:6">
      <c r="D603" s="28"/>
      <c r="F603" s="29"/>
    </row>
    <row r="604" spans="4:6">
      <c r="D604" s="28"/>
      <c r="F604" s="29"/>
    </row>
    <row r="605" spans="4:6">
      <c r="D605" s="28"/>
      <c r="F605" s="29"/>
    </row>
    <row r="606" spans="4:6">
      <c r="D606" s="28"/>
      <c r="F606" s="29"/>
    </row>
    <row r="607" spans="4:6">
      <c r="D607" s="28"/>
      <c r="F607" s="29"/>
    </row>
    <row r="608" spans="4:6">
      <c r="D608" s="28"/>
      <c r="F608" s="29"/>
    </row>
    <row r="609" spans="4:6">
      <c r="D609" s="28"/>
      <c r="F609" s="29"/>
    </row>
    <row r="610" spans="4:6">
      <c r="D610" s="28"/>
      <c r="F610" s="29"/>
    </row>
    <row r="611" spans="4:6">
      <c r="D611" s="28"/>
      <c r="F611" s="29"/>
    </row>
    <row r="612" spans="4:6">
      <c r="D612" s="28"/>
      <c r="F612" s="29"/>
    </row>
    <row r="613" spans="4:6">
      <c r="D613" s="28"/>
      <c r="F613" s="29"/>
    </row>
    <row r="614" spans="4:6">
      <c r="D614" s="28"/>
      <c r="F614" s="29"/>
    </row>
    <row r="615" spans="4:6">
      <c r="D615" s="28"/>
      <c r="F615" s="29"/>
    </row>
    <row r="616" spans="4:6">
      <c r="D616" s="28"/>
      <c r="F616" s="29"/>
    </row>
    <row r="617" spans="4:6">
      <c r="D617" s="28"/>
      <c r="F617" s="29"/>
    </row>
    <row r="618" spans="4:6">
      <c r="D618" s="28"/>
      <c r="F618" s="29"/>
    </row>
    <row r="619" spans="4:6">
      <c r="D619" s="28"/>
      <c r="F619" s="29"/>
    </row>
    <row r="620" spans="4:6">
      <c r="D620" s="28"/>
      <c r="F620" s="29"/>
    </row>
    <row r="621" spans="4:6">
      <c r="D621" s="28"/>
      <c r="F621" s="29"/>
    </row>
    <row r="622" spans="4:6">
      <c r="D622" s="28"/>
      <c r="F622" s="29"/>
    </row>
    <row r="623" spans="4:6">
      <c r="D623" s="28"/>
      <c r="F623" s="29"/>
    </row>
    <row r="624" spans="4:6">
      <c r="D624" s="28"/>
      <c r="F624" s="29"/>
    </row>
    <row r="625" spans="4:6">
      <c r="D625" s="28"/>
      <c r="F625" s="29"/>
    </row>
    <row r="626" spans="4:6">
      <c r="D626" s="28"/>
      <c r="F626" s="29"/>
    </row>
    <row r="627" spans="4:6">
      <c r="D627" s="28"/>
      <c r="F627" s="29"/>
    </row>
    <row r="628" spans="4:6">
      <c r="D628" s="28"/>
      <c r="F628" s="29"/>
    </row>
    <row r="629" spans="4:6">
      <c r="D629" s="28"/>
      <c r="F629" s="29"/>
    </row>
    <row r="630" spans="4:6">
      <c r="D630" s="28"/>
      <c r="F630" s="29"/>
    </row>
    <row r="631" spans="4:6">
      <c r="D631" s="28"/>
      <c r="F631" s="29"/>
    </row>
    <row r="632" spans="4:6">
      <c r="D632" s="28"/>
      <c r="F632" s="29"/>
    </row>
    <row r="633" spans="4:6">
      <c r="D633" s="28"/>
      <c r="F633" s="29"/>
    </row>
    <row r="634" spans="4:6">
      <c r="D634" s="28"/>
      <c r="F634" s="29"/>
    </row>
    <row r="635" spans="4:6">
      <c r="D635" s="28"/>
      <c r="F635" s="29"/>
    </row>
    <row r="636" spans="4:6">
      <c r="D636" s="28"/>
      <c r="F636" s="29"/>
    </row>
    <row r="637" spans="4:6">
      <c r="D637" s="28"/>
      <c r="F637" s="29"/>
    </row>
    <row r="638" spans="4:6">
      <c r="D638" s="28"/>
      <c r="F638" s="29"/>
    </row>
    <row r="639" spans="4:6">
      <c r="D639" s="28"/>
      <c r="F639" s="29"/>
    </row>
    <row r="640" spans="4:6">
      <c r="D640" s="28"/>
      <c r="F640" s="29"/>
    </row>
    <row r="641" spans="4:6">
      <c r="D641" s="28"/>
      <c r="F641" s="29"/>
    </row>
    <row r="642" spans="4:6">
      <c r="D642" s="28"/>
      <c r="F642" s="29"/>
    </row>
    <row r="643" spans="4:6">
      <c r="D643" s="28"/>
      <c r="F643" s="29"/>
    </row>
    <row r="644" spans="4:6">
      <c r="D644" s="28"/>
      <c r="F644" s="29"/>
    </row>
    <row r="645" spans="4:6">
      <c r="D645" s="28"/>
      <c r="F645" s="29"/>
    </row>
    <row r="646" spans="4:6">
      <c r="D646" s="28"/>
      <c r="F646" s="29"/>
    </row>
    <row r="647" spans="4:6">
      <c r="D647" s="28"/>
      <c r="F647" s="29"/>
    </row>
    <row r="648" spans="4:6" ht="15" customHeight="1">
      <c r="D648" s="28"/>
      <c r="F648" s="29"/>
    </row>
    <row r="649" spans="4:6" ht="15" customHeight="1">
      <c r="D649" s="28"/>
      <c r="F649" s="29"/>
    </row>
    <row r="650" spans="4:6" ht="15" customHeight="1">
      <c r="D650" s="28"/>
      <c r="F650" s="29"/>
    </row>
    <row r="651" spans="4:6" ht="15" customHeight="1">
      <c r="D651" s="28"/>
      <c r="F651" s="29"/>
    </row>
    <row r="652" spans="4:6" ht="15" customHeight="1">
      <c r="D652" s="28"/>
      <c r="F652" s="29"/>
    </row>
    <row r="653" spans="4:6" ht="15" customHeight="1">
      <c r="D653" s="28"/>
      <c r="F653" s="29"/>
    </row>
    <row r="654" spans="4:6" ht="15" customHeight="1">
      <c r="D654" s="28"/>
      <c r="F654" s="29"/>
    </row>
    <row r="655" spans="4:6" ht="15" customHeight="1">
      <c r="D655" s="28"/>
      <c r="F655" s="29"/>
    </row>
    <row r="656" spans="4:6" ht="15" customHeight="1">
      <c r="D656" s="28"/>
      <c r="F656" s="29"/>
    </row>
    <row r="657" spans="4:6" ht="15" customHeight="1">
      <c r="D657" s="28"/>
      <c r="F657" s="29"/>
    </row>
    <row r="658" spans="4:6" ht="15" customHeight="1">
      <c r="D658" s="28"/>
      <c r="F658" s="29"/>
    </row>
    <row r="659" spans="4:6" ht="15" customHeight="1">
      <c r="D659" s="28"/>
      <c r="F659" s="29"/>
    </row>
    <row r="660" spans="4:6" ht="15" customHeight="1">
      <c r="D660" s="28"/>
    </row>
    <row r="661" spans="4:6" ht="15" customHeight="1">
      <c r="D661" s="28"/>
    </row>
    <row r="662" spans="4:6" ht="15" customHeight="1">
      <c r="D662" s="28"/>
    </row>
    <row r="663" spans="4:6" ht="15" customHeight="1">
      <c r="D663" s="28"/>
    </row>
    <row r="664" spans="4:6" ht="15" customHeight="1">
      <c r="D664" s="28"/>
    </row>
    <row r="665" spans="4:6" ht="15" customHeight="1">
      <c r="D665" s="28"/>
    </row>
    <row r="666" spans="4:6" ht="15" customHeight="1">
      <c r="D666" s="28"/>
    </row>
    <row r="667" spans="4:6" ht="15" customHeight="1">
      <c r="D667" s="28"/>
    </row>
    <row r="668" spans="4:6" ht="15" customHeight="1">
      <c r="D668" s="28"/>
    </row>
    <row r="669" spans="4:6" ht="15" customHeight="1">
      <c r="D669" s="28"/>
    </row>
    <row r="670" spans="4:6" ht="15" customHeight="1">
      <c r="D670" s="28"/>
    </row>
    <row r="671" spans="4:6" ht="15" customHeight="1">
      <c r="D671" s="28"/>
    </row>
    <row r="672" spans="4:6" ht="15" customHeight="1">
      <c r="D672" s="28"/>
    </row>
    <row r="673" spans="4:4" ht="15" customHeight="1">
      <c r="D673" s="28"/>
    </row>
    <row r="674" spans="4:4" ht="15" customHeight="1">
      <c r="D674" s="28"/>
    </row>
    <row r="675" spans="4:4" ht="15" customHeight="1">
      <c r="D675" s="28"/>
    </row>
    <row r="676" spans="4:4" ht="15" customHeight="1">
      <c r="D676" s="28"/>
    </row>
    <row r="677" spans="4:4" ht="15" customHeight="1">
      <c r="D677" s="28"/>
    </row>
    <row r="678" spans="4:4" ht="15" customHeight="1">
      <c r="D678" s="28"/>
    </row>
    <row r="679" spans="4:4" ht="15" customHeight="1">
      <c r="D679" s="28"/>
    </row>
  </sheetData>
  <conditionalFormatting sqref="D2:D771">
    <cfRule type="expression" dxfId="2" priority="1">
      <formula>AND(D2&gt;=TODAY()-30, D2&lt;=TODAY()-1, G2&lt;&gt;"Доставено")</formula>
    </cfRule>
    <cfRule type="expression" dxfId="1" priority="2">
      <formula>AND(D2&gt;=TODAY(), D2&lt;=TODAY()+7)</formula>
    </cfRule>
    <cfRule type="expression" dxfId="0" priority="3">
      <formula>AND(D2=TODAY(), G2&lt;&gt;"Доставено")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B03A55F-5E6F-6841-9977-60ABE0B6BB42}">
          <x14:formula1>
            <xm:f>Reference!$A$2:$A$10</xm:f>
          </x14:formula1>
          <xm:sqref>G5:G8 G11:G58</xm:sqref>
        </x14:dataValidation>
        <x14:dataValidation type="list" allowBlank="1" showInputMessage="1" showErrorMessage="1" xr:uid="{02F4A267-B3DD-1D4B-9D40-A2B2CBDBA914}">
          <x14:formula1>
            <xm:f>Reference!$A$2:$A$14</xm:f>
          </x14:formula1>
          <xm:sqref>G4 G9:G10</xm:sqref>
        </x14:dataValidation>
        <x14:dataValidation type="list" allowBlank="1" showInputMessage="1" showErrorMessage="1" xr:uid="{5C1469A5-5B8F-CB45-B923-160CC37EA3E3}">
          <x14:formula1>
            <xm:f>Reference!$A$2:$A$17</xm:f>
          </x14:formula1>
          <xm:sqref>G59:G651</xm:sqref>
        </x14:dataValidation>
        <x14:dataValidation type="list" allowBlank="1" showInputMessage="1" showErrorMessage="1" xr:uid="{3702A2DB-1496-0A44-8DD9-2454AD00D89C}">
          <x14:formula1>
            <xm:f>Reference!$C$2:$C$119</xm:f>
          </x14:formula1>
          <xm:sqref>I4:I353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EDEF-2E57-9646-BC5F-ED882803B972}">
  <dimension ref="A1:B38"/>
  <sheetViews>
    <sheetView topLeftCell="A16" zoomScale="130" zoomScaleNormal="130" workbookViewId="0">
      <selection activeCell="B6" sqref="B6"/>
    </sheetView>
  </sheetViews>
  <sheetFormatPr defaultColWidth="11.42578125" defaultRowHeight="15"/>
  <cols>
    <col min="1" max="1" width="23" customWidth="1"/>
    <col min="2" max="2" width="25.42578125" customWidth="1"/>
  </cols>
  <sheetData>
    <row r="1" spans="1:2" ht="40.5" customHeight="1">
      <c r="A1" s="74" t="s">
        <v>1840</v>
      </c>
      <c r="B1" s="74"/>
    </row>
    <row r="2" spans="1:2" s="14" customFormat="1" ht="71.25" customHeight="1">
      <c r="A2" s="45"/>
      <c r="B2" s="45"/>
    </row>
    <row r="3" spans="1:2" ht="33" customHeight="1">
      <c r="A3" s="73" t="s">
        <v>1841</v>
      </c>
      <c r="B3" s="73"/>
    </row>
    <row r="4" spans="1:2">
      <c r="A4" t="s">
        <v>1842</v>
      </c>
      <c r="B4" t="s">
        <v>1843</v>
      </c>
    </row>
    <row r="5" spans="1:2">
      <c r="A5" t="s">
        <v>1844</v>
      </c>
      <c r="B5" s="25">
        <f>SUM('Cotton Tape and Sliver'!P4:P513)</f>
        <v>74135.198744099995</v>
      </c>
    </row>
    <row r="6" spans="1:2">
      <c r="A6" t="s">
        <v>1845</v>
      </c>
      <c r="B6" s="25">
        <f>SUM('Cotton Buds and Pads'!O2:O1218)</f>
        <v>44302.51918321391</v>
      </c>
    </row>
    <row r="7" spans="1:2">
      <c r="A7" t="s">
        <v>1846</v>
      </c>
      <c r="B7" s="25">
        <f>SUM('Wet Wipes'!O4:O801)</f>
        <v>115395.95919489999</v>
      </c>
    </row>
    <row r="8" spans="1:2">
      <c r="A8" t="s">
        <v>1847</v>
      </c>
      <c r="B8" s="25">
        <f>SUM('Paper Sticks, Plastics'!O4:O308)</f>
        <v>80131.012746399996</v>
      </c>
    </row>
    <row r="10" spans="1:2" s="14" customFormat="1" ht="102.75" customHeight="1"/>
    <row r="11" spans="1:2">
      <c r="A11" s="74" t="s">
        <v>1844</v>
      </c>
      <c r="B11" s="74"/>
    </row>
    <row r="12" spans="1:2" ht="17.25" customHeight="1">
      <c r="A12" t="s">
        <v>21</v>
      </c>
      <c r="B12" s="25">
        <f>SUMIF('Cotton Tape and Sliver'!$E$4:$E$1131, "Лента", 'Cotton Tape and Sliver'!$P$4:$P$1131)</f>
        <v>22166.007448</v>
      </c>
    </row>
    <row r="13" spans="1:2">
      <c r="A13" t="s">
        <v>87</v>
      </c>
      <c r="B13" s="25">
        <f>SUMIF('Cotton Tape and Sliver'!$E$4:$E$1131, "Нишка", 'Cotton Tape and Sliver'!$P$4:$P$1131)</f>
        <v>28507.923278899998</v>
      </c>
    </row>
    <row r="14" spans="1:2">
      <c r="A14" t="s">
        <v>92</v>
      </c>
      <c r="B14" s="25">
        <f>SUMIF('Cotton Tape and Sliver'!$E$4:$E$1131, "Нишка+Лента", 'Cotton Tape and Sliver'!$P$4:$P$1131)</f>
        <v>9931.2333875999975</v>
      </c>
    </row>
    <row r="15" spans="1:2">
      <c r="A15" t="s">
        <v>63</v>
      </c>
      <c r="B15" s="25">
        <f>SUMIF('Cotton Tape and Sliver'!$E$4:$E$1131, "Инструменти", 'Cotton Tape and Sliver'!$P$4:$P$1131)</f>
        <v>622.11580000000015</v>
      </c>
    </row>
    <row r="16" spans="1:2">
      <c r="A16" t="s">
        <v>1848</v>
      </c>
      <c r="B16" s="25">
        <f>SUMIF('Cotton Tape and Sliver'!$E$4:$E$1131, "Корпус 6, нова поточна линия памучна лента", 'Cotton Tape and Sliver'!$P$4:$P$1131)</f>
        <v>12907.918829599997</v>
      </c>
    </row>
    <row r="17" spans="1:2" s="14" customFormat="1" ht="170.25" customHeight="1">
      <c r="B17" s="44"/>
    </row>
    <row r="18" spans="1:2">
      <c r="A18" s="74" t="s">
        <v>1845</v>
      </c>
      <c r="B18" s="74"/>
    </row>
    <row r="19" spans="1:2">
      <c r="A19" t="s">
        <v>602</v>
      </c>
      <c r="B19" s="25">
        <f ca="1">SUMIF('Cotton Buds and Pads'!$E$2:$E$1202, "ACM", 'Cotton Buds and Pads'!$O$4:$O$1202)</f>
        <v>12017.4017516</v>
      </c>
    </row>
    <row r="20" spans="1:2">
      <c r="A20" t="s">
        <v>600</v>
      </c>
      <c r="B20" s="25">
        <f ca="1">SUMIF('Cotton Buds and Pads'!$E$2:$E$1202, "FALU - Тампони", 'Cotton Buds and Pads'!$O$4:$O$1202)</f>
        <v>266.24</v>
      </c>
    </row>
    <row r="21" spans="1:2" ht="30">
      <c r="A21" s="1" t="s">
        <v>595</v>
      </c>
      <c r="B21" s="25">
        <f ca="1">SUMIF('Cotton Buds and Pads'!$E$2:$E$1202, "FALU, B&amp;M - Клечки за уши", 'Cotton Buds and Pads'!$O$4:$O$1202)</f>
        <v>10339.696373000004</v>
      </c>
    </row>
    <row r="22" spans="1:2">
      <c r="A22" t="s">
        <v>610</v>
      </c>
      <c r="B22" s="25">
        <f ca="1">SUMIF('Cotton Buds and Pads'!$E$2:$E$1202, "Топчета", 'Cotton Buds and Pads'!$O$4:$O$1202)</f>
        <v>442.42458400000004</v>
      </c>
    </row>
    <row r="23" spans="1:2">
      <c r="A23" t="s">
        <v>612</v>
      </c>
      <c r="B23" s="25">
        <f ca="1">SUMIF('Cotton Buds and Pads'!$E$2:$E$1202, "ОТК", 'Cotton Buds and Pads'!$O$4:$O$1202)</f>
        <v>77</v>
      </c>
    </row>
    <row r="24" spans="1:2">
      <c r="A24" t="s">
        <v>63</v>
      </c>
      <c r="B24" s="25">
        <f ca="1">SUMIF('Cotton Buds and Pads'!$E$2:$E$1202, "Инструменти", 'Cotton Buds and Pads'!$O$4:$O$1202)</f>
        <v>3591.7200000000003</v>
      </c>
    </row>
    <row r="25" spans="1:2">
      <c r="A25" t="s">
        <v>619</v>
      </c>
      <c r="B25" s="25">
        <f ca="1">SUMIF('Cotton Buds and Pads'!$E$2:$E$1202, "Общи", 'Cotton Buds and Pads'!$O$4:$O$1202)</f>
        <v>17157.536474613906</v>
      </c>
    </row>
    <row r="26" spans="1:2" ht="30">
      <c r="A26" s="1" t="s">
        <v>779</v>
      </c>
      <c r="B26" s="25">
        <f ca="1">SUMIF('Cotton Buds and Pads'!$E$2:$E$1202, "Лепачки за тампони промопликове", 'Cotton Buds and Pads'!$O$4:$O$1202)</f>
        <v>55.5</v>
      </c>
    </row>
    <row r="27" spans="1:2">
      <c r="A27" t="s">
        <v>769</v>
      </c>
      <c r="B27" s="25">
        <f ca="1">SUMIF('Cotton Buds and Pads'!$E$2:$E$1202, "Работилница", 'Cotton Buds and Pads'!$O$4:$O$1202)</f>
        <v>0</v>
      </c>
    </row>
    <row r="28" spans="1:2" ht="67.5" customHeight="1">
      <c r="B28" s="25"/>
    </row>
    <row r="29" spans="1:2">
      <c r="B29" s="25"/>
    </row>
    <row r="30" spans="1:2">
      <c r="B30" s="25"/>
    </row>
    <row r="31" spans="1:2">
      <c r="B31" s="25"/>
    </row>
    <row r="32" spans="1:2">
      <c r="B32" s="25"/>
    </row>
    <row r="33" spans="2:2">
      <c r="B33" s="25"/>
    </row>
    <row r="34" spans="2:2">
      <c r="B34" s="25"/>
    </row>
    <row r="35" spans="2:2">
      <c r="B35" s="25"/>
    </row>
    <row r="36" spans="2:2">
      <c r="B36" s="25"/>
    </row>
    <row r="37" spans="2:2">
      <c r="B37" s="25"/>
    </row>
    <row r="38" spans="2:2">
      <c r="B38" s="25"/>
    </row>
  </sheetData>
  <mergeCells count="4">
    <mergeCell ref="A3:B3"/>
    <mergeCell ref="A11:B11"/>
    <mergeCell ref="A1:B1"/>
    <mergeCell ref="A18:B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0AA41-0851-48F7-9B35-60265492DE5A}">
  <dimension ref="A1:E161"/>
  <sheetViews>
    <sheetView zoomScale="125" workbookViewId="0">
      <selection activeCell="G16" sqref="G16"/>
    </sheetView>
  </sheetViews>
  <sheetFormatPr defaultColWidth="8.85546875" defaultRowHeight="15"/>
  <cols>
    <col min="1" max="1" width="35.140625" bestFit="1" customWidth="1"/>
    <col min="2" max="2" width="8.85546875" style="14"/>
    <col min="3" max="3" width="34.28515625" customWidth="1"/>
    <col min="4" max="4" width="41.140625" bestFit="1" customWidth="1"/>
    <col min="5" max="5" width="94.140625" customWidth="1"/>
  </cols>
  <sheetData>
    <row r="1" spans="1:5" s="17" customFormat="1" ht="18.75">
      <c r="A1" s="15" t="s">
        <v>591</v>
      </c>
      <c r="B1" s="16"/>
      <c r="C1" s="17" t="s">
        <v>1849</v>
      </c>
      <c r="D1" s="17" t="s">
        <v>1850</v>
      </c>
      <c r="E1" s="17" t="s">
        <v>1851</v>
      </c>
    </row>
    <row r="2" spans="1:5">
      <c r="A2" s="3" t="s">
        <v>30</v>
      </c>
      <c r="C2" t="s">
        <v>101</v>
      </c>
      <c r="D2" t="s">
        <v>1852</v>
      </c>
    </row>
    <row r="3" spans="1:5">
      <c r="A3" s="3" t="s">
        <v>42</v>
      </c>
      <c r="C3" t="s">
        <v>58</v>
      </c>
      <c r="D3" t="s">
        <v>1853</v>
      </c>
    </row>
    <row r="4" spans="1:5">
      <c r="A4" s="3" t="s">
        <v>1854</v>
      </c>
      <c r="C4" t="s">
        <v>46</v>
      </c>
      <c r="D4" t="s">
        <v>1855</v>
      </c>
    </row>
    <row r="5" spans="1:5">
      <c r="A5" t="s">
        <v>731</v>
      </c>
      <c r="C5" t="s">
        <v>677</v>
      </c>
      <c r="D5" t="s">
        <v>1856</v>
      </c>
    </row>
    <row r="6" spans="1:5">
      <c r="A6" s="3" t="s">
        <v>235</v>
      </c>
      <c r="C6" t="s">
        <v>31</v>
      </c>
      <c r="D6" t="s">
        <v>1857</v>
      </c>
    </row>
    <row r="7" spans="1:5">
      <c r="A7" s="3" t="s">
        <v>22</v>
      </c>
      <c r="C7" t="s">
        <v>1858</v>
      </c>
      <c r="D7" t="s">
        <v>1859</v>
      </c>
    </row>
    <row r="8" spans="1:5">
      <c r="A8" s="3" t="s">
        <v>780</v>
      </c>
      <c r="C8" t="s">
        <v>48</v>
      </c>
      <c r="D8" t="s">
        <v>1860</v>
      </c>
    </row>
    <row r="9" spans="1:5">
      <c r="A9" s="3" t="s">
        <v>1861</v>
      </c>
      <c r="C9" t="s">
        <v>1862</v>
      </c>
      <c r="D9" t="s">
        <v>1863</v>
      </c>
    </row>
    <row r="10" spans="1:5" ht="30">
      <c r="A10" s="3" t="s">
        <v>135</v>
      </c>
      <c r="C10" t="s">
        <v>1864</v>
      </c>
      <c r="D10" t="s">
        <v>1865</v>
      </c>
      <c r="E10" s="5" t="s">
        <v>1866</v>
      </c>
    </row>
    <row r="11" spans="1:5">
      <c r="A11" s="3" t="s">
        <v>1731</v>
      </c>
      <c r="C11" t="s">
        <v>1867</v>
      </c>
      <c r="D11" t="s">
        <v>1868</v>
      </c>
    </row>
    <row r="12" spans="1:5">
      <c r="A12" s="3" t="s">
        <v>1869</v>
      </c>
      <c r="C12" t="s">
        <v>128</v>
      </c>
      <c r="E12" s="6" t="s">
        <v>1870</v>
      </c>
    </row>
    <row r="13" spans="1:5" ht="45">
      <c r="A13" s="3" t="s">
        <v>1871</v>
      </c>
      <c r="C13" t="s">
        <v>1872</v>
      </c>
      <c r="D13" s="1" t="s">
        <v>1873</v>
      </c>
      <c r="E13" s="7" t="s">
        <v>1874</v>
      </c>
    </row>
    <row r="14" spans="1:5">
      <c r="A14" s="3" t="s">
        <v>1875</v>
      </c>
      <c r="C14" t="s">
        <v>629</v>
      </c>
      <c r="E14" s="6" t="s">
        <v>1876</v>
      </c>
    </row>
    <row r="15" spans="1:5">
      <c r="C15" t="s">
        <v>1877</v>
      </c>
    </row>
    <row r="16" spans="1:5">
      <c r="C16" t="s">
        <v>1225</v>
      </c>
      <c r="E16" s="6" t="s">
        <v>1878</v>
      </c>
    </row>
    <row r="17" spans="3:5">
      <c r="C17" t="s">
        <v>1404</v>
      </c>
      <c r="E17" s="6" t="s">
        <v>1879</v>
      </c>
    </row>
    <row r="18" spans="3:5">
      <c r="C18" t="s">
        <v>104</v>
      </c>
      <c r="E18" s="6" t="s">
        <v>1880</v>
      </c>
    </row>
    <row r="19" spans="3:5">
      <c r="C19" t="s">
        <v>295</v>
      </c>
    </row>
    <row r="20" spans="3:5">
      <c r="C20" t="s">
        <v>73</v>
      </c>
      <c r="E20" s="6" t="s">
        <v>1881</v>
      </c>
    </row>
    <row r="21" spans="3:5">
      <c r="C21" t="s">
        <v>1882</v>
      </c>
    </row>
    <row r="22" spans="3:5">
      <c r="C22" t="s">
        <v>1883</v>
      </c>
    </row>
    <row r="23" spans="3:5">
      <c r="C23" t="s">
        <v>1884</v>
      </c>
      <c r="E23" s="8" t="s">
        <v>1885</v>
      </c>
    </row>
    <row r="24" spans="3:5">
      <c r="C24" t="s">
        <v>1886</v>
      </c>
    </row>
    <row r="25" spans="3:5">
      <c r="C25" t="s">
        <v>120</v>
      </c>
    </row>
    <row r="26" spans="3:5">
      <c r="C26" t="s">
        <v>232</v>
      </c>
    </row>
    <row r="27" spans="3:5">
      <c r="C27" t="s">
        <v>1887</v>
      </c>
    </row>
    <row r="28" spans="3:5">
      <c r="C28" t="s">
        <v>1888</v>
      </c>
      <c r="E28" s="6" t="s">
        <v>1889</v>
      </c>
    </row>
    <row r="29" spans="3:5">
      <c r="C29" t="s">
        <v>1890</v>
      </c>
    </row>
    <row r="30" spans="3:5">
      <c r="C30" t="s">
        <v>1891</v>
      </c>
      <c r="D30" t="s">
        <v>1892</v>
      </c>
    </row>
    <row r="31" spans="3:5">
      <c r="C31" t="s">
        <v>625</v>
      </c>
      <c r="E31" s="6" t="s">
        <v>1893</v>
      </c>
    </row>
    <row r="32" spans="3:5">
      <c r="C32" t="s">
        <v>772</v>
      </c>
      <c r="E32" s="6" t="s">
        <v>1894</v>
      </c>
    </row>
    <row r="33" spans="3:5">
      <c r="C33" t="s">
        <v>912</v>
      </c>
    </row>
    <row r="34" spans="3:5">
      <c r="C34" t="s">
        <v>1895</v>
      </c>
      <c r="E34" s="6" t="s">
        <v>1896</v>
      </c>
    </row>
    <row r="35" spans="3:5">
      <c r="C35" t="s">
        <v>1528</v>
      </c>
      <c r="E35" s="6" t="s">
        <v>1897</v>
      </c>
    </row>
    <row r="36" spans="3:5">
      <c r="C36" t="s">
        <v>927</v>
      </c>
      <c r="E36" s="6" t="s">
        <v>1898</v>
      </c>
    </row>
    <row r="37" spans="3:5">
      <c r="C37" t="s">
        <v>51</v>
      </c>
    </row>
    <row r="38" spans="3:5">
      <c r="C38" t="s">
        <v>1899</v>
      </c>
    </row>
    <row r="39" spans="3:5">
      <c r="C39" t="s">
        <v>1900</v>
      </c>
      <c r="E39" s="6" t="s">
        <v>1901</v>
      </c>
    </row>
    <row r="40" spans="3:5">
      <c r="C40" t="s">
        <v>1902</v>
      </c>
    </row>
    <row r="41" spans="3:5">
      <c r="C41" t="s">
        <v>1903</v>
      </c>
      <c r="E41">
        <v>882276629</v>
      </c>
    </row>
    <row r="42" spans="3:5">
      <c r="C42" t="s">
        <v>75</v>
      </c>
      <c r="E42" s="6" t="s">
        <v>1904</v>
      </c>
    </row>
    <row r="43" spans="3:5">
      <c r="C43" t="s">
        <v>1905</v>
      </c>
    </row>
    <row r="44" spans="3:5">
      <c r="C44" t="s">
        <v>1906</v>
      </c>
      <c r="E44" s="6" t="s">
        <v>1907</v>
      </c>
    </row>
    <row r="45" spans="3:5">
      <c r="C45" t="s">
        <v>1908</v>
      </c>
    </row>
    <row r="46" spans="3:5">
      <c r="C46" t="s">
        <v>607</v>
      </c>
      <c r="E46" t="s">
        <v>1909</v>
      </c>
    </row>
    <row r="47" spans="3:5">
      <c r="C47" t="s">
        <v>1910</v>
      </c>
      <c r="E47" s="6" t="s">
        <v>1911</v>
      </c>
    </row>
    <row r="48" spans="3:5">
      <c r="C48" t="s">
        <v>1912</v>
      </c>
      <c r="E48" s="6" t="s">
        <v>1913</v>
      </c>
    </row>
    <row r="49" spans="3:5">
      <c r="C49" t="s">
        <v>1914</v>
      </c>
      <c r="E49" t="s">
        <v>1915</v>
      </c>
    </row>
    <row r="50" spans="3:5">
      <c r="C50" t="s">
        <v>221</v>
      </c>
    </row>
    <row r="51" spans="3:5">
      <c r="C51" t="s">
        <v>1916</v>
      </c>
    </row>
    <row r="52" spans="3:5" ht="19.5">
      <c r="C52" s="9" t="s">
        <v>1917</v>
      </c>
    </row>
    <row r="53" spans="3:5">
      <c r="C53" t="s">
        <v>192</v>
      </c>
    </row>
    <row r="54" spans="3:5">
      <c r="C54" t="s">
        <v>1647</v>
      </c>
    </row>
    <row r="55" spans="3:5">
      <c r="C55" s="10" t="s">
        <v>1918</v>
      </c>
    </row>
    <row r="56" spans="3:5">
      <c r="C56" t="s">
        <v>1919</v>
      </c>
    </row>
    <row r="57" spans="3:5">
      <c r="C57" t="s">
        <v>1281</v>
      </c>
    </row>
    <row r="58" spans="3:5">
      <c r="C58" t="s">
        <v>1920</v>
      </c>
    </row>
    <row r="59" spans="3:5">
      <c r="C59" t="s">
        <v>261</v>
      </c>
    </row>
    <row r="60" spans="3:5">
      <c r="C60" t="s">
        <v>1921</v>
      </c>
    </row>
    <row r="61" spans="3:5">
      <c r="C61" t="s">
        <v>1922</v>
      </c>
      <c r="E61" t="s">
        <v>1923</v>
      </c>
    </row>
    <row r="62" spans="3:5">
      <c r="C62" t="s">
        <v>84</v>
      </c>
    </row>
    <row r="63" spans="3:5">
      <c r="C63" t="s">
        <v>1727</v>
      </c>
    </row>
    <row r="64" spans="3:5">
      <c r="C64" t="s">
        <v>1924</v>
      </c>
      <c r="E64" t="s">
        <v>1925</v>
      </c>
    </row>
    <row r="65" spans="3:5">
      <c r="C65" t="s">
        <v>1926</v>
      </c>
      <c r="E65" t="s">
        <v>1927</v>
      </c>
    </row>
    <row r="66" spans="3:5">
      <c r="C66" t="s">
        <v>1220</v>
      </c>
      <c r="E66" t="s">
        <v>1928</v>
      </c>
    </row>
    <row r="67" spans="3:5">
      <c r="C67" t="s">
        <v>1929</v>
      </c>
      <c r="E67" s="11" t="s">
        <v>1930</v>
      </c>
    </row>
    <row r="68" spans="3:5">
      <c r="C68" t="s">
        <v>1931</v>
      </c>
      <c r="E68" s="12"/>
    </row>
    <row r="69" spans="3:5">
      <c r="C69" t="s">
        <v>304</v>
      </c>
      <c r="E69" s="11" t="s">
        <v>1932</v>
      </c>
    </row>
    <row r="70" spans="3:5">
      <c r="C70" t="s">
        <v>1933</v>
      </c>
      <c r="E70" t="s">
        <v>1934</v>
      </c>
    </row>
    <row r="71" spans="3:5">
      <c r="C71" t="s">
        <v>633</v>
      </c>
    </row>
    <row r="72" spans="3:5">
      <c r="C72" t="s">
        <v>1325</v>
      </c>
      <c r="E72" t="s">
        <v>1935</v>
      </c>
    </row>
    <row r="73" spans="3:5">
      <c r="C73" t="s">
        <v>1936</v>
      </c>
      <c r="E73" t="s">
        <v>1937</v>
      </c>
    </row>
    <row r="74" spans="3:5">
      <c r="C74" t="s">
        <v>1938</v>
      </c>
      <c r="E74" s="6" t="s">
        <v>1939</v>
      </c>
    </row>
    <row r="75" spans="3:5">
      <c r="C75" t="s">
        <v>300</v>
      </c>
      <c r="E75" s="6" t="s">
        <v>1940</v>
      </c>
    </row>
    <row r="76" spans="3:5">
      <c r="C76" t="s">
        <v>1941</v>
      </c>
    </row>
    <row r="77" spans="3:5">
      <c r="C77" s="13" t="s">
        <v>293</v>
      </c>
    </row>
    <row r="78" spans="3:5">
      <c r="C78" t="s">
        <v>1942</v>
      </c>
      <c r="E78" t="s">
        <v>1943</v>
      </c>
    </row>
    <row r="79" spans="3:5">
      <c r="C79" t="s">
        <v>1754</v>
      </c>
      <c r="E79" s="6" t="s">
        <v>1944</v>
      </c>
    </row>
    <row r="80" spans="3:5">
      <c r="C80" t="s">
        <v>1945</v>
      </c>
      <c r="E80" t="s">
        <v>1946</v>
      </c>
    </row>
    <row r="81" spans="3:5" ht="45">
      <c r="C81" t="s">
        <v>1947</v>
      </c>
      <c r="E81" s="1" t="s">
        <v>1948</v>
      </c>
    </row>
    <row r="82" spans="3:5">
      <c r="C82" t="s">
        <v>112</v>
      </c>
    </row>
    <row r="83" spans="3:5">
      <c r="C83" t="s">
        <v>1949</v>
      </c>
      <c r="E83" s="6" t="s">
        <v>1950</v>
      </c>
    </row>
    <row r="84" spans="3:5">
      <c r="C84" t="s">
        <v>69</v>
      </c>
    </row>
    <row r="85" spans="3:5">
      <c r="C85" t="s">
        <v>114</v>
      </c>
      <c r="E85" s="6" t="s">
        <v>1951</v>
      </c>
    </row>
    <row r="86" spans="3:5">
      <c r="C86" s="3" t="s">
        <v>1952</v>
      </c>
      <c r="E86" s="6" t="s">
        <v>1953</v>
      </c>
    </row>
    <row r="87" spans="3:5">
      <c r="C87" t="s">
        <v>1954</v>
      </c>
    </row>
    <row r="88" spans="3:5">
      <c r="C88" t="s">
        <v>1955</v>
      </c>
    </row>
    <row r="89" spans="3:5" ht="30">
      <c r="C89" t="s">
        <v>1956</v>
      </c>
      <c r="D89" s="1" t="s">
        <v>1957</v>
      </c>
    </row>
    <row r="90" spans="3:5">
      <c r="C90" t="s">
        <v>1958</v>
      </c>
    </row>
    <row r="91" spans="3:5">
      <c r="C91" t="s">
        <v>164</v>
      </c>
    </row>
    <row r="92" spans="3:5">
      <c r="C92" t="s">
        <v>382</v>
      </c>
    </row>
    <row r="93" spans="3:5">
      <c r="C93" t="s">
        <v>1562</v>
      </c>
    </row>
    <row r="94" spans="3:5">
      <c r="C94" t="s">
        <v>1721</v>
      </c>
    </row>
    <row r="95" spans="3:5">
      <c r="C95" t="s">
        <v>64</v>
      </c>
    </row>
    <row r="96" spans="3:5">
      <c r="C96" t="s">
        <v>1521</v>
      </c>
    </row>
    <row r="97" spans="3:5">
      <c r="C97" t="s">
        <v>24</v>
      </c>
    </row>
    <row r="98" spans="3:5">
      <c r="C98" t="s">
        <v>1519</v>
      </c>
    </row>
    <row r="99" spans="3:5">
      <c r="C99" t="s">
        <v>1190</v>
      </c>
    </row>
    <row r="100" spans="3:5">
      <c r="C100" t="s">
        <v>1959</v>
      </c>
    </row>
    <row r="101" spans="3:5">
      <c r="C101" t="s">
        <v>883</v>
      </c>
    </row>
    <row r="102" spans="3:5">
      <c r="C102" t="s">
        <v>1200</v>
      </c>
    </row>
    <row r="103" spans="3:5">
      <c r="C103" t="s">
        <v>1960</v>
      </c>
    </row>
    <row r="104" spans="3:5">
      <c r="C104" t="s">
        <v>1961</v>
      </c>
      <c r="E104" t="s">
        <v>1962</v>
      </c>
    </row>
    <row r="105" spans="3:5">
      <c r="C105" t="s">
        <v>1963</v>
      </c>
    </row>
    <row r="106" spans="3:5">
      <c r="C106" t="s">
        <v>1964</v>
      </c>
    </row>
    <row r="107" spans="3:5">
      <c r="C107" t="s">
        <v>1965</v>
      </c>
    </row>
    <row r="108" spans="3:5">
      <c r="C108" t="s">
        <v>1966</v>
      </c>
    </row>
    <row r="109" spans="3:5">
      <c r="C109" t="s">
        <v>1266</v>
      </c>
    </row>
    <row r="110" spans="3:5">
      <c r="C110" t="s">
        <v>35</v>
      </c>
      <c r="E110" s="6" t="s">
        <v>1967</v>
      </c>
    </row>
    <row r="111" spans="3:5">
      <c r="C111" t="s">
        <v>1968</v>
      </c>
    </row>
    <row r="112" spans="3:5">
      <c r="C112" t="s">
        <v>1969</v>
      </c>
    </row>
    <row r="113" spans="3:5">
      <c r="C113" t="s">
        <v>1970</v>
      </c>
    </row>
    <row r="114" spans="3:5">
      <c r="C114" t="s">
        <v>667</v>
      </c>
    </row>
    <row r="115" spans="3:5">
      <c r="C115" t="s">
        <v>1268</v>
      </c>
    </row>
    <row r="116" spans="3:5">
      <c r="C116" t="s">
        <v>132</v>
      </c>
      <c r="E116" s="6" t="s">
        <v>1971</v>
      </c>
    </row>
    <row r="117" spans="3:5">
      <c r="C117" t="s">
        <v>1278</v>
      </c>
    </row>
    <row r="118" spans="3:5">
      <c r="C118" t="s">
        <v>1972</v>
      </c>
    </row>
    <row r="119" spans="3:5">
      <c r="C119" t="s">
        <v>1973</v>
      </c>
    </row>
    <row r="120" spans="3:5">
      <c r="C120" t="s">
        <v>644</v>
      </c>
    </row>
    <row r="121" spans="3:5">
      <c r="C121" t="s">
        <v>88</v>
      </c>
    </row>
    <row r="122" spans="3:5">
      <c r="C122" t="s">
        <v>1328</v>
      </c>
    </row>
    <row r="123" spans="3:5">
      <c r="C123" t="s">
        <v>1974</v>
      </c>
      <c r="E123" t="s">
        <v>1975</v>
      </c>
    </row>
    <row r="124" spans="3:5">
      <c r="C124" t="s">
        <v>153</v>
      </c>
      <c r="E124" t="s">
        <v>1976</v>
      </c>
    </row>
    <row r="125" spans="3:5">
      <c r="C125" t="s">
        <v>137</v>
      </c>
    </row>
    <row r="126" spans="3:5">
      <c r="C126" s="6" t="s">
        <v>54</v>
      </c>
      <c r="E126" s="6" t="s">
        <v>1977</v>
      </c>
    </row>
    <row r="127" spans="3:5">
      <c r="C127" t="s">
        <v>1978</v>
      </c>
    </row>
    <row r="128" spans="3:5">
      <c r="C128" t="s">
        <v>205</v>
      </c>
    </row>
    <row r="129" spans="3:5">
      <c r="C129" t="s">
        <v>1334</v>
      </c>
      <c r="E129" s="6" t="s">
        <v>1979</v>
      </c>
    </row>
    <row r="130" spans="3:5">
      <c r="C130" t="s">
        <v>202</v>
      </c>
    </row>
    <row r="131" spans="3:5">
      <c r="C131" t="s">
        <v>179</v>
      </c>
    </row>
    <row r="132" spans="3:5">
      <c r="C132" t="s">
        <v>1406</v>
      </c>
    </row>
    <row r="133" spans="3:5">
      <c r="C133" t="s">
        <v>1194</v>
      </c>
    </row>
    <row r="134" spans="3:5">
      <c r="C134" t="s">
        <v>216</v>
      </c>
    </row>
    <row r="135" spans="3:5">
      <c r="C135" s="54" t="s">
        <v>1399</v>
      </c>
      <c r="D135" s="54"/>
      <c r="E135" s="54" t="s">
        <v>1980</v>
      </c>
    </row>
    <row r="136" spans="3:5">
      <c r="C136" t="s">
        <v>248</v>
      </c>
    </row>
    <row r="137" spans="3:5">
      <c r="C137" t="s">
        <v>1184</v>
      </c>
      <c r="E137" s="6" t="s">
        <v>1981</v>
      </c>
    </row>
    <row r="138" spans="3:5">
      <c r="C138" s="6" t="s">
        <v>597</v>
      </c>
      <c r="E138" t="s">
        <v>1982</v>
      </c>
    </row>
    <row r="139" spans="3:5">
      <c r="C139" t="s">
        <v>1442</v>
      </c>
    </row>
    <row r="140" spans="3:5">
      <c r="C140" t="s">
        <v>197</v>
      </c>
      <c r="E140" t="s">
        <v>1983</v>
      </c>
    </row>
    <row r="141" spans="3:5">
      <c r="C141" t="s">
        <v>276</v>
      </c>
      <c r="E141" s="6" t="s">
        <v>1984</v>
      </c>
    </row>
    <row r="142" spans="3:5">
      <c r="C142" s="6" t="s">
        <v>867</v>
      </c>
      <c r="E142" s="5" t="s">
        <v>1985</v>
      </c>
    </row>
    <row r="143" spans="3:5">
      <c r="C143" t="s">
        <v>230</v>
      </c>
    </row>
    <row r="144" spans="3:5">
      <c r="C144" t="s">
        <v>1986</v>
      </c>
    </row>
    <row r="145" spans="3:5">
      <c r="C145" t="s">
        <v>37</v>
      </c>
      <c r="E145" s="6" t="s">
        <v>1987</v>
      </c>
    </row>
    <row r="146" spans="3:5">
      <c r="C146" t="s">
        <v>1988</v>
      </c>
    </row>
    <row r="147" spans="3:5">
      <c r="C147" t="s">
        <v>320</v>
      </c>
    </row>
    <row r="148" spans="3:5">
      <c r="C148" t="s">
        <v>44</v>
      </c>
    </row>
    <row r="149" spans="3:5">
      <c r="C149" t="s">
        <v>981</v>
      </c>
    </row>
    <row r="150" spans="3:5">
      <c r="C150" t="s">
        <v>1536</v>
      </c>
    </row>
    <row r="151" spans="3:5">
      <c r="C151" t="s">
        <v>1618</v>
      </c>
      <c r="E151" s="6" t="s">
        <v>1989</v>
      </c>
    </row>
    <row r="152" spans="3:5">
      <c r="C152" t="s">
        <v>418</v>
      </c>
    </row>
    <row r="153" spans="3:5">
      <c r="C153" t="s">
        <v>1990</v>
      </c>
    </row>
    <row r="154" spans="3:5">
      <c r="C154" t="s">
        <v>264</v>
      </c>
      <c r="E154" t="s">
        <v>1991</v>
      </c>
    </row>
    <row r="155" spans="3:5">
      <c r="C155" t="s">
        <v>466</v>
      </c>
      <c r="E155" s="6" t="s">
        <v>1992</v>
      </c>
    </row>
    <row r="156" spans="3:5">
      <c r="C156" t="s">
        <v>1670</v>
      </c>
    </row>
    <row r="157" spans="3:5">
      <c r="C157" t="s">
        <v>1993</v>
      </c>
    </row>
    <row r="158" spans="3:5">
      <c r="C158" t="s">
        <v>580</v>
      </c>
      <c r="E158" t="s">
        <v>1994</v>
      </c>
    </row>
    <row r="159" spans="3:5">
      <c r="C159" t="s">
        <v>1995</v>
      </c>
      <c r="E159" s="6" t="s">
        <v>1996</v>
      </c>
    </row>
    <row r="160" spans="3:5">
      <c r="C160" t="s">
        <v>1167</v>
      </c>
    </row>
    <row r="161" spans="3:5">
      <c r="C161" t="s">
        <v>711</v>
      </c>
      <c r="E161" s="6" t="s">
        <v>1997</v>
      </c>
    </row>
  </sheetData>
  <hyperlinks>
    <hyperlink ref="E12" r:id="rId1" xr:uid="{C15EF910-1ACE-A048-B266-FFAC0C93810A}"/>
    <hyperlink ref="E16" r:id="rId2" xr:uid="{DD4D56B8-88EC-A64D-B2B2-B2B5ED838088}"/>
    <hyperlink ref="E17" r:id="rId3" xr:uid="{A1FB20C7-712E-B546-8B00-D35E84A9ECE4}"/>
    <hyperlink ref="E18" r:id="rId4" xr:uid="{32B1151C-3AAB-3D45-BF68-0ECF5332A708}"/>
    <hyperlink ref="E20" r:id="rId5" xr:uid="{1F373C1E-3DFF-6549-BB29-AEAB0BD4F95E}"/>
    <hyperlink ref="E28" r:id="rId6" xr:uid="{718FD635-9D43-0640-9BCC-D85A0B090D0D}"/>
    <hyperlink ref="E31" r:id="rId7" xr:uid="{FF8D7A76-99F8-5846-97DD-B6C3EFDA4A04}"/>
    <hyperlink ref="E32" r:id="rId8" xr:uid="{89213DEC-2B4C-7C42-B119-EE097E11DF0C}"/>
    <hyperlink ref="E34" r:id="rId9" xr:uid="{BE6807B8-A5E7-5147-B1CA-73A5CB227103}"/>
    <hyperlink ref="E35" r:id="rId10" xr:uid="{327F3653-E2FB-EF40-B223-6B3CDD9394A0}"/>
    <hyperlink ref="E36" r:id="rId11" xr:uid="{294FECE4-871F-7746-A2A1-7BE59A22BF29}"/>
    <hyperlink ref="E14" r:id="rId12" xr:uid="{A1C6B654-C379-C94F-BD40-4EDEA4008C52}"/>
    <hyperlink ref="E42" r:id="rId13" xr:uid="{84750E86-5B9C-DE40-A084-3E2C7BB3EA4F}"/>
    <hyperlink ref="E10" r:id="rId14" display="ruse@viscom.bg    " xr:uid="{31C7F5AE-B916-564D-91ED-6B291C1D079A}"/>
    <hyperlink ref="E44" r:id="rId15" xr:uid="{38B750A6-C0BA-464A-99D1-632264DDCFB4}"/>
    <hyperlink ref="E47" r:id="rId16" display="mailto:sales@akva.bg" xr:uid="{F55B78EC-05B8-AE4F-85C1-3C827647C2DE}"/>
    <hyperlink ref="E48" r:id="rId17" xr:uid="{AD08651C-12BC-DA44-BB54-766EB854A191}"/>
    <hyperlink ref="E39" r:id="rId18" xr:uid="{5CD33644-B800-AC41-8B91-90B631C8C90A}"/>
    <hyperlink ref="E74" r:id="rId19" xr:uid="{7C7E3C6F-BCD1-A244-88EF-88400146D40E}"/>
    <hyperlink ref="E75" r:id="rId20" xr:uid="{F11FDF3D-E4AB-9F46-A808-58F090263A2A}"/>
    <hyperlink ref="E79" r:id="rId21" xr:uid="{EAF9837F-2F22-CA47-A857-ACB374AFF026}"/>
    <hyperlink ref="E85" r:id="rId22" xr:uid="{0DDB577A-C144-4B48-881F-DD149F43FBB8}"/>
    <hyperlink ref="E83" r:id="rId23" xr:uid="{CAA55246-1848-CD41-9A70-1C22D3C5217B}"/>
    <hyperlink ref="E86" r:id="rId24" xr:uid="{C9584716-16E2-D14D-830A-C23034808055}"/>
    <hyperlink ref="E110" r:id="rId25" xr:uid="{92BF01E4-CADC-2C4A-9ED4-94F92B87C56A}"/>
    <hyperlink ref="E116" r:id="rId26" xr:uid="{ECE4B775-5AFD-7441-8397-9C4A47FB421C}"/>
    <hyperlink ref="C126" r:id="rId27" display="s.Stefanov@schrack.bg" xr:uid="{911C1227-BD7F-E745-A432-F26635DB0B6B}"/>
    <hyperlink ref="E126" r:id="rId28" xr:uid="{6B7AD6A9-B8E8-774A-A0A1-6377218759F3}"/>
    <hyperlink ref="E129" r:id="rId29" xr:uid="{F4EC63AC-CF54-0642-8BE7-13EA03462DE6}"/>
    <hyperlink ref="E137" r:id="rId30" xr:uid="{07893D9E-842D-414C-9F06-ECDB26A4496B}"/>
    <hyperlink ref="C138" r:id="rId31" display="office@vallder.com" xr:uid="{5F6D0872-46FB-48E8-8A11-1DE84FCF85A3}"/>
    <hyperlink ref="E141" r:id="rId32" xr:uid="{87B3C2B5-33FE-0742-9C9A-03D2FE8E8A56}"/>
    <hyperlink ref="C142" r:id="rId33" display="sales@meltmann.com" xr:uid="{166E5893-9147-4FC9-A4BE-7810FA2B65A0}"/>
    <hyperlink ref="E142" r:id="rId34" xr:uid="{50961322-2791-46CF-9455-07B4F592FAB6}"/>
    <hyperlink ref="E145" r:id="rId35" xr:uid="{2B2D460D-747D-4B0E-A75D-21C62AC0274F}"/>
    <hyperlink ref="E151" r:id="rId36" xr:uid="{39F81214-794E-4DAF-8374-35A6FDE363A0}"/>
    <hyperlink ref="E155" r:id="rId37" xr:uid="{2DB78BC8-66F7-47C0-A2AF-F6BDBED52EB2}"/>
    <hyperlink ref="E159" r:id="rId38" display="mailto:sales@ldg-bg.com" xr:uid="{6A9C89EA-6457-47DB-BA24-E86801B6A884}"/>
    <hyperlink ref="E161" r:id="rId39" xr:uid="{DD0FC9FF-50C0-40AC-8C2F-27930DA8FDB0}"/>
  </hyperlinks>
  <pageMargins left="0.7" right="0.7" top="0.75" bottom="0.75" header="0.3" footer="0.3"/>
  <pageSetup paperSize="9" orientation="portrait" verticalDpi="0" r:id="rId4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09DF9A-BEC8-4899-A5D9-D2767AC3113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1c34047-154d-45e3-85a0-6900d591370f}" enabled="0" method="" siteId="{e1c34047-154d-45e3-85a0-6900d59137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Cotton Tape and Sliver</vt:lpstr>
      <vt:lpstr>Cotton Buds and Pads</vt:lpstr>
      <vt:lpstr>Wet Wipes</vt:lpstr>
      <vt:lpstr>Paper Sticks, Plastics</vt:lpstr>
      <vt:lpstr>Statistics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Салим Куйтов</dc:creator>
  <cp:keywords/>
  <dc:description/>
  <cp:lastModifiedBy>Salim Kuytov</cp:lastModifiedBy>
  <cp:revision/>
  <dcterms:created xsi:type="dcterms:W3CDTF">2025-02-24T10:19:39Z</dcterms:created>
  <dcterms:modified xsi:type="dcterms:W3CDTF">2026-02-23T13:01:54Z</dcterms:modified>
  <cp:category/>
  <cp:contentStatus/>
</cp:coreProperties>
</file>